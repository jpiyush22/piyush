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 Q1 - rough notes" sheetId="1" r:id="rId5"/>
    <sheet state="visible" name="S1 Q2 - motion split" sheetId="2" r:id="rId6"/>
    <sheet state="visible" name="S1 Q3 - rough notes" sheetId="3" r:id="rId7"/>
    <sheet state="visible" name="S2 Q1 - Account A events" sheetId="4" r:id="rId8"/>
    <sheet state="visible" name="S2 Q2 - detection design" sheetId="5" r:id="rId9"/>
    <sheet state="visible" name="S2 Q3 - event gaps" sheetId="6" r:id="rId10"/>
    <sheet state="visible" name="S3 Q1 - priorities" sheetId="7" r:id="rId11"/>
    <sheet state="visible" name="S3 Q2 - quarter plan" sheetId="8" r:id="rId12"/>
    <sheet state="visible" name="S3 Q3 - Sales response" sheetId="9" r:id="rId13"/>
    <sheet state="visible" name="S4 - architecture + MVP" sheetId="10" r:id="rId14"/>
    <sheet state="visible" name="S5 Q1 - CRM gaps" sheetId="11" r:id="rId15"/>
    <sheet state="visible" name="S5 Q2 - CRM redesign" sheetId="12" r:id="rId16"/>
    <sheet state="visible" name="S5 Q3 - safe rollout" sheetId="13" r:id="rId17"/>
    <sheet state="visible" name="S6 Q1 - semantic drift" sheetId="14" r:id="rId18"/>
    <sheet state="visible" name="S6 Q2 - incident cleanup" sheetId="15" r:id="rId19"/>
    <sheet state="visible" name="S6 Q3 - signal integrity" sheetId="16" r:id="rId20"/>
    <sheet state="visible" name="S7 - Signal Desk + MVP" sheetId="17" r:id="rId21"/>
    <sheet state="visible" name="S9 - feedback" sheetId="18" r:id="rId22"/>
  </sheets>
  <definedNames/>
  <calcPr/>
</workbook>
</file>

<file path=xl/sharedStrings.xml><?xml version="1.0" encoding="utf-8"?>
<sst xmlns="http://schemas.openxmlformats.org/spreadsheetml/2006/main" count="1771" uniqueCount="1490">
  <si>
    <t>Stage</t>
  </si>
  <si>
    <t>Section 2 — Q1 | Account A checks</t>
  </si>
  <si>
    <t>Section 1 - Q3 | rough notes</t>
  </si>
  <si>
    <t>Accounts</t>
  </si>
  <si>
    <t/>
  </si>
  <si>
    <t>Question</t>
  </si>
  <si>
    <t>One motion has no Sales row. What does that structural difference imply, if anything, for what happens to those accounts later?</t>
  </si>
  <si>
    <t>Conversion</t>
  </si>
  <si>
    <t>Different journeys</t>
  </si>
  <si>
    <t>SSF skips Sales; Sales-led involves Sales or a partner and has a CSx owner from onboarding.</t>
  </si>
  <si>
    <t>Basis / note</t>
  </si>
  <si>
    <t>Possible effect</t>
  </si>
  <si>
    <t>SSF may receive less human guidance during onboarding and adoption.</t>
  </si>
  <si>
    <t>What the numbers show</t>
  </si>
  <si>
    <t>Adoption: SSF 41.0% vs Sales-led 55.1%. Expansion: 12.5% vs 42.9%.</t>
  </si>
  <si>
    <t>What we can't prove</t>
  </si>
  <si>
    <t>The gap may also reflect differences in customers, intent, or Sales qualification.</t>
  </si>
  <si>
    <t>Bottom line</t>
  </si>
  <si>
    <t>The missing Sales stage may matter, but it's not proven to cause the gap.</t>
  </si>
  <si>
    <t>SSF accounts</t>
  </si>
  <si>
    <t>Sales-led accounts</t>
  </si>
  <si>
    <t>SSF conversion</t>
  </si>
  <si>
    <t>Sales-led conversion</t>
  </si>
  <si>
    <t>LeadGen</t>
  </si>
  <si>
    <t>The Account A timeline above was written by a person. Using only the raw event data, what would you compute to arrive at the same read — and what in the written timeline can you not actually derive from these events?</t>
  </si>
  <si>
    <t>LeadDev</t>
  </si>
  <si>
    <t>Starting cohort</t>
  </si>
  <si>
    <t>Quick read</t>
  </si>
  <si>
    <t>Messaging stayed steady, while recorded advanced-feature actions faded before cancellation.</t>
  </si>
  <si>
    <t>Metric</t>
  </si>
  <si>
    <t>Value</t>
  </si>
  <si>
    <t>How I worked it out</t>
  </si>
  <si>
    <t>Account created (day)</t>
  </si>
  <si>
    <t>account_created</t>
  </si>
  <si>
    <t>First campaign (day)</t>
  </si>
  <si>
    <t>campaign_sent, first_campaign=true</t>
  </si>
  <si>
    <t>Activation lag (days)</t>
  </si>
  <si>
    <t>Section 2 — Q2 | Early-warning detection</t>
  </si>
  <si>
    <t>Of LeadGen</t>
  </si>
  <si>
    <t>First campaign minus account_created</t>
  </si>
  <si>
    <t>Workflows created</t>
  </si>
  <si>
    <t>Sales</t>
  </si>
  <si>
    <t>workflow_created on days 4, 5, 7</t>
  </si>
  <si>
    <t>Last workflow edit (day)</t>
  </si>
  <si>
    <t>SSF skips the Sales stage.</t>
  </si>
  <si>
    <t>These five accounts are representative of thousands. Design how you'd detect the accounts worth worrying about at that scale: what would you compute, where in the stack would each piece live, and how fresh would it need to be?</t>
  </si>
  <si>
    <t>workflow_edited on days 9, 14, 19</t>
  </si>
  <si>
    <t>AI agent runs (observed)</t>
  </si>
  <si>
    <t>4 runs day 10 + 2 runs day 12</t>
  </si>
  <si>
    <t>Approach</t>
  </si>
  <si>
    <t>Daily workspace-level watchlist; clear reasons, not a black-box health score. Compare SSF and Sales-led accounts by age and plan.</t>
  </si>
  <si>
    <t>Onboarding</t>
  </si>
  <si>
    <t>Last AI trigger (day)</t>
  </si>
  <si>
    <t>Last ai_agent_triggered event in extract</t>
  </si>
  <si>
    <t>Subscription cancelled (day)</t>
  </si>
  <si>
    <t>subscription_cancelled</t>
  </si>
  <si>
    <t>Days since last workflow edit</t>
  </si>
  <si>
    <t>Sales → Onboarding rate</t>
  </si>
  <si>
    <t>SIGNALS TO COMPUTE</t>
  </si>
  <si>
    <t>Signal</t>
  </si>
  <si>
    <t>How I'd calculate it</t>
  </si>
  <si>
    <t>Source</t>
  </si>
  <si>
    <t>Where it lives</t>
  </si>
  <si>
    <t>Refresh</t>
  </si>
  <si>
    <t>52 days from last edit to cancellation; not proof workflows stopped running.</t>
  </si>
  <si>
    <t>Activation</t>
  </si>
  <si>
    <t>Days from account_created to first campaign_sent. No campaign = not activated.</t>
  </si>
  <si>
    <t>Product events</t>
  </si>
  <si>
    <t>Days since last AI trigger</t>
  </si>
  <si>
    <t>Warehouse workspace model</t>
  </si>
  <si>
    <t>Daily</t>
  </si>
  <si>
    <t>Depth features</t>
  </si>
  <si>
    <t>Distinct templates/workflows/agents created; AI runs; days since last relevant recorded event. Does not prove workflow execution.</t>
  </si>
  <si>
    <t>Core messaging</t>
  </si>
  <si>
    <t>Last 2 weeks' sent and received messages vs previous 2 weeks; don't treat stable messaging alone as healthy.</t>
  </si>
  <si>
    <t>message_activity_weekly</t>
  </si>
  <si>
    <t>Adoption</t>
  </si>
  <si>
    <t>Engagement &amp; CSx</t>
  </si>
  <si>
    <t>Lifecycle email interactions; CSx calls and follow-ups; owner and open concerns (when recorded in structured form).</t>
  </si>
  <si>
    <t>HubSpot / lifecycle history</t>
  </si>
  <si>
    <t>Warehouse joins on workspace ID</t>
  </si>
  <si>
    <t>59 days from last recorded AI trigger; check whether tracking is complete.</t>
  </si>
  <si>
    <t>Commercial signals</t>
  </si>
  <si>
    <t>Sent messages / week (avg)</t>
  </si>
  <si>
    <t>Paid plan, seats, upgrades, downgrades, cancellation and upcoming renewal.</t>
  </si>
  <si>
    <t>Chargebee / Stripe</t>
  </si>
  <si>
    <t>Warehouse; current billing state</t>
  </si>
  <si>
    <t>Hours / daily</t>
  </si>
  <si>
    <t>Data confidence</t>
  </si>
  <si>
    <t>Age of last valid event; source sync status; missing data should be 'Unknown', not assumed inactivity.</t>
  </si>
  <si>
    <t>Event freshness + Dagster runs</t>
  </si>
  <si>
    <t>Expansion</t>
  </si>
  <si>
    <t>Warehouse QA + orchestration</t>
  </si>
  <si>
    <t>Each sync</t>
  </si>
  <si>
    <t>PROCESS / SYSTEM HANDOFF</t>
  </si>
  <si>
    <t>Step</t>
  </si>
  <si>
    <t>82.5% of LeadDev across both motions.</t>
  </si>
  <si>
    <t>Not reaching adoption</t>
  </si>
  <si>
    <t>Average across 10 weekly records.</t>
  </si>
  <si>
    <t>What happens</t>
  </si>
  <si>
    <t>Tool(s)</t>
  </si>
  <si>
    <t>Freshness</t>
  </si>
  <si>
    <t>Weekly sent (min–max)</t>
  </si>
  <si>
    <t>Why</t>
  </si>
  <si>
    <t>1 — Collect</t>
  </si>
  <si>
    <t>Incrementally ingest events, customer context and subscription data into the warehouse.</t>
  </si>
  <si>
    <t>Airbyte → Warehouse</t>
  </si>
  <si>
    <t>Every few hours / daily</t>
  </si>
  <si>
    <t>Avoid expensive full resyncs</t>
  </si>
  <si>
    <t>2 — Model</t>
  </si>
  <si>
    <t>Compute workspace signals; segment by motion, plan and lifecycle age; save status, reasons and as-of timestamp.</t>
  </si>
  <si>
    <t>Warehouse + Dagster</t>
  </si>
  <si>
    <t>Share of non-adopters</t>
  </si>
  <si>
    <t>Stable, explainable scoring and QA</t>
  </si>
  <si>
    <t>3 — Sync</t>
  </si>
  <si>
    <t>Write status, reasons and last updated back to the Workspace record.</t>
  </si>
  <si>
    <t>Hightouch → HubSpot</t>
  </si>
  <si>
    <t>Daily after model completes</t>
  </si>
  <si>
    <t>Actionable within existing CRM</t>
  </si>
  <si>
    <t>Lowest and highest weekly sent message counts.</t>
  </si>
  <si>
    <t>Of Onboarding</t>
  </si>
  <si>
    <t>4 — Respond</t>
  </si>
  <si>
    <t>Sales-led: CSx follow-up task. SSF: relevant lifecycle guidance or owned review queue. Slack only for urgent/high-priority cases.</t>
  </si>
  <si>
    <t>Weekly messaging events</t>
  </si>
  <si>
    <t>HubSpot + Make/n8n</t>
  </si>
  <si>
    <t>After each sync</t>
  </si>
  <si>
    <t>Different motion, appropriate next step</t>
  </si>
  <si>
    <t>Of Adoption</t>
  </si>
  <si>
    <t>Week</t>
  </si>
  <si>
    <t>Event day</t>
  </si>
  <si>
    <t>Sent</t>
  </si>
  <si>
    <t>Received</t>
  </si>
  <si>
    <t>Adoption rate gap (pp)</t>
  </si>
  <si>
    <t>Risk logic</t>
  </si>
  <si>
    <t>Test ~14 days without depth-feature adoption/activity as ONE candidate signal; combine with others. Calibrate thresholds to actual outcomes.</t>
  </si>
  <si>
    <t>Warehouse rules</t>
  </si>
  <si>
    <t>Avoid false alarms from normal adoption patterns</t>
  </si>
  <si>
    <t>CHECK THE FIVE ACCOUNTS (ILLUSTRATIVE, NOT SCORED FROM A–E RAW EVENTS)</t>
  </si>
  <si>
    <t>Account</t>
  </si>
  <si>
    <t>Observed pattern</t>
  </si>
  <si>
    <t>Illustrative status</t>
  </si>
  <si>
    <t>Reason to check</t>
  </si>
  <si>
    <t>Guardrail</t>
  </si>
  <si>
    <t>A (SSF, 42 seats)</t>
  </si>
  <si>
    <t>Messaging steady (~90/wk); last workflow edit day 19, AI trigger day 12; cancelled day 71.</t>
  </si>
  <si>
    <t>At risk before cancellation</t>
  </si>
  <si>
    <t>Advanced-feature events faded.</t>
  </si>
  <si>
    <t>SSF share of onboarding</t>
  </si>
  <si>
    <t>Workflow may still run; only observed events available</t>
  </si>
  <si>
    <t>B (SSF, 9 seats)</t>
  </si>
  <si>
    <t>Activated day 8; no template/workflow; light messaging; downgraded day 63.</t>
  </si>
  <si>
    <t>Watch before downgrade</t>
  </si>
  <si>
    <t>No depth-feature adoption observed.</t>
  </si>
  <si>
    <t>Don't use email opens alone</t>
  </si>
  <si>
    <t>Notes / limits</t>
  </si>
  <si>
    <t>C (SSF, 28 seats)</t>
  </si>
  <si>
    <t>Built templates, 5 workflows and active AI agents; expanded day 55.</t>
  </si>
  <si>
    <t>Of onboarded accounts</t>
  </si>
  <si>
    <t>Healthy signal</t>
  </si>
  <si>
    <t>Strong adoption despite no human contact.</t>
  </si>
  <si>
    <t>Don't flag solely for no CSx</t>
  </si>
  <si>
    <t>D (Sales-led, 35 seats)</t>
  </si>
  <si>
    <t>CSx contact; templates week 1, workflow day 30, active AI day 41; expanded day 82.</t>
  </si>
  <si>
    <t>Now use Table 2. Does your answer change? Show the specific numbers that drive your conclusion. (You'll need to compute conversion rates the tables don't give you.)</t>
  </si>
  <si>
    <t>Progressing into depth features.</t>
  </si>
  <si>
    <t>Don't over-penalise slower but successful adoption</t>
  </si>
  <si>
    <t>E (Sales-led, 18 seats)</t>
  </si>
  <si>
    <t>CSx call flagged workflows; template only, no workflow usage; renewal flat, at risk.</t>
  </si>
  <si>
    <t>At risk / priority review</t>
  </si>
  <si>
    <t>Known adoption gap despite human contact.</t>
  </si>
  <si>
    <t>CSx notes are context, not proof of cause</t>
  </si>
  <si>
    <t>Main observation</t>
  </si>
  <si>
    <t>First check</t>
  </si>
  <si>
    <t>WORKED CHECK (ACCOUNT A RAW EVENTS ONLY)</t>
  </si>
  <si>
    <t>LeadGen → LeadDev: SSF 72.0%, Sales-led 71.4%.</t>
  </si>
  <si>
    <t>Main finding</t>
  </si>
  <si>
    <t>Read Table 1 on its own first. What's your read on the health of this funnel? Where's the biggest problem, and how confident are you?</t>
  </si>
  <si>
    <t>Later day / input</t>
  </si>
  <si>
    <t>Messaging stayed near 90/week; recorded workflow edits and AI triggers stopped appearing.</t>
  </si>
  <si>
    <t>SSF Adoption 41.0% vs Sales-led 55.1% (14.1 pp lower).</t>
  </si>
  <si>
    <t>Earlier day / input</t>
  </si>
  <si>
    <t>Calculated result</t>
  </si>
  <si>
    <t>Meaning</t>
  </si>
  <si>
    <t>Size matters</t>
  </si>
  <si>
    <t>Timing detail</t>
  </si>
  <si>
    <t>SSF is 77.5% of onboarded accounts and 81.9% of non-adopters.</t>
  </si>
  <si>
    <t>Last workflow edit → cancellation</t>
  </si>
  <si>
    <t>The third workflow was made on day 7, labelled week 2 in the data.</t>
  </si>
  <si>
    <t>Main issue</t>
  </si>
  <si>
    <t>What we don't know</t>
  </si>
  <si>
    <t>536 of 960 onboarded accounts didn't reach Adoption (55.8%).</t>
  </si>
  <si>
    <t>Customer mix or support may explain the difference; the data doesn't prove why.</t>
  </si>
  <si>
    <t>Can't confirm</t>
  </si>
  <si>
    <t>Other concern</t>
  </si>
  <si>
    <t>Expansion converted 21.0%; the 90-day window may be too short.</t>
  </si>
  <si>
    <t>Creating or editing workflows doesn't tell us if they kept running or added value.</t>
  </si>
  <si>
    <t>Product events don't tell us whether anyone checked in with the customer.</t>
  </si>
  <si>
    <t>Tracking check</t>
  </si>
  <si>
    <t>Confidence</t>
  </si>
  <si>
    <t>No AI triggers appear after day 12; confirm the event log is complete.</t>
  </si>
  <si>
    <t>High in the numbers, moderate in the diagnosis.</t>
  </si>
  <si>
    <t>Data check</t>
  </si>
  <si>
    <t>Week 1 summary is dated day 0. Check how weekly periods are recorded.</t>
  </si>
  <si>
    <t>Next check</t>
  </si>
  <si>
    <t>Compare SSF and Sales-led results with stage targets.</t>
  </si>
  <si>
    <t>52-day gap in editing, not proof workflows stopped</t>
  </si>
  <si>
    <t>Last AI trigger → cancellation</t>
  </si>
  <si>
    <t>59-day gap in observed AI triggers</t>
  </si>
  <si>
    <t>Weekly messages range</t>
  </si>
  <si>
    <t>Only 5 messages from min to max across 10 weekly snapshots</t>
  </si>
  <si>
    <t>Illustrative inactivity watch day</t>
  </si>
  <si>
    <t>Day 33 would be a candidate check, not proof of inactivity</t>
  </si>
  <si>
    <t>Important limit</t>
  </si>
  <si>
    <t>Only Account A has underlying raw events here. B–E status examples come from the supplied narratives. A production rule needs validated tracking, time windows and outcomes.</t>
  </si>
  <si>
    <t>Section 2 — Q3 | Event tracking priorities</t>
  </si>
  <si>
    <t>What's missing from this event schema — what would you instrument first, and what would you deliberately not bother capturing even though you could?</t>
  </si>
  <si>
    <t>Main gap</t>
  </si>
  <si>
    <t>Creation and edits don't show whether depth features ran or worked.</t>
  </si>
  <si>
    <t>Section 3 — Q1 | Prioritising lead qualification</t>
  </si>
  <si>
    <t>INSTRUMENT FIRST — PRIORITISED</t>
  </si>
  <si>
    <t>Priority</t>
  </si>
  <si>
    <t>Event or signal</t>
  </si>
  <si>
    <t>Essential fields / source</t>
  </si>
  <si>
    <t>What it answers</t>
  </si>
  <si>
    <t>RevOps use</t>
  </si>
  <si>
    <t>P0</t>
  </si>
  <si>
    <t>Workflow execution: success / failure</t>
  </si>
  <si>
    <t>workspace_id, workflow_id, run_id, occurred_at, status, error category</t>
  </si>
  <si>
    <t>Based on what you've found so far, where does lead qualification sit relative to the other things you've seen?</t>
  </si>
  <si>
    <t>Did the workflow actually run and succeed?</t>
  </si>
  <si>
    <t>Daily runs, last successful run, failures; prevent false inactivity flags</t>
  </si>
  <si>
    <t>AI agent result: success / failure</t>
  </si>
  <si>
    <t>Sales concern</t>
  </si>
  <si>
    <t>workspace_id, agent_id, run_id, occurred_at, status, error category (no transcripts)</t>
  </si>
  <si>
    <t>Did the agent produce a successful outcome, not just trigger?</t>
  </si>
  <si>
    <t>Head of Sales says reps spend about half their day triaging poor-fit leads; this is an unverified claim, not a measured result.</t>
  </si>
  <si>
    <t>Successful runs and recent failures</t>
  </si>
  <si>
    <t>Reliable event envelope</t>
  </si>
  <si>
    <t>event_id, workspace_id, occurred_at, ingested_at; stable feature_id and event version</t>
  </si>
  <si>
    <t>Can we join, deduplicate, and trust event timing?</t>
  </si>
  <si>
    <t>Protect daily risk signals from missing/delayed events</t>
  </si>
  <si>
    <t>P1</t>
  </si>
  <si>
    <t>Template used</t>
  </si>
  <si>
    <t>workspace_id, template_id, occurred_at, use context</t>
  </si>
  <si>
    <t>Was a template actually used after creation?</t>
  </si>
  <si>
    <t>WHAT THE FUNNEL SHOWS</t>
  </si>
  <si>
    <t>Adoption beyond one-time setup</t>
  </si>
  <si>
    <t>Workflow / agent enabled, paused, or deleted</t>
  </si>
  <si>
    <t>workspace_id, feature_id, state, occurred_at</t>
  </si>
  <si>
    <t>Did someone intentionally disable a feature?</t>
  </si>
  <si>
    <t>Separate stopped features from unchanged-but-running features</t>
  </si>
  <si>
    <t>Seat activation and usage</t>
  </si>
  <si>
    <t>Why it matters</t>
  </si>
  <si>
    <t>workspace_id, user_id (pseudonymous), invited/accepted/active status, active day</t>
  </si>
  <si>
    <t>How many of the licensed users actually participate?</t>
  </si>
  <si>
    <t>Onboarded accounts</t>
  </si>
  <si>
    <t>Distinct active seats; important for a 42-seat workspace</t>
  </si>
  <si>
    <t>Weekly message window</t>
  </si>
  <si>
    <t>workspace_id, period_start, period_end, sent_count, received_count</t>
  </si>
  <si>
    <t>What dates does week=1 refer to?</t>
  </si>
  <si>
    <t>Reliable messaging trend comparisons</t>
  </si>
  <si>
    <t>JOIN, DON'T DUPLICATE</t>
  </si>
  <si>
    <t>CSx touchpoints, lifecycle emails, plan and seats</t>
  </si>
  <si>
    <t>HubSpot / lifecycle source + Chargebee / Stripe joined by workspace</t>
  </si>
  <si>
    <t>What support or commercial change happened?</t>
  </si>
  <si>
    <t>Context for intervention and later outcomes</t>
  </si>
  <si>
    <t>DELIBERATELY SKIP</t>
  </si>
  <si>
    <t>Skip</t>
  </si>
  <si>
    <t>Every hover, click and routine page view</t>
  </si>
  <si>
    <t>Many events; little proof of value</t>
  </si>
  <si>
    <t>High noise and cost</t>
  </si>
  <si>
    <t>Not part of initial health model</t>
  </si>
  <si>
    <t>Raw customer message bodies and contact content</t>
  </si>
  <si>
    <t>Sensitive personal data</t>
  </si>
  <si>
    <t>Privacy and access risk</t>
  </si>
  <si>
    <t>Use message counts/trends instead</t>
  </si>
  <si>
    <t>Full AI conversation transcripts</t>
  </si>
  <si>
    <t>Sensitive, costly and not required for risk flagging</t>
  </si>
  <si>
    <t>Privacy / storage burden</t>
  </si>
  <si>
    <t>Track run status and outcomes instead</t>
  </si>
  <si>
    <t>ACCOUNT A — WHAT THIS CHANGES</t>
  </si>
  <si>
    <t>Observed</t>
  </si>
  <si>
    <t>Last workflow edit: day 19; last AI trigger: day 12; messaging ~90 sent/week.</t>
  </si>
  <si>
    <t>Unknown today</t>
  </si>
  <si>
    <t>Whether workflows were still running successfully; whether AI outcomes were useful; whether invited users adopted the product.</t>
  </si>
  <si>
    <t>Better test</t>
  </si>
  <si>
    <t>Compare recent successful workflow / AI runs and active seats with previous periods before flagging a customer as inactive.</t>
  </si>
  <si>
    <t>Caution</t>
  </si>
  <si>
    <t>New fields need consistent definitions, deduplication and validation; missing data should remain Unknown.</t>
  </si>
  <si>
    <t>Combined cohort</t>
  </si>
  <si>
    <t>Accounts not reaching Adoption</t>
  </si>
  <si>
    <t>Largest absolute loss after onboarding</t>
  </si>
  <si>
    <t>Non-adoption share</t>
  </si>
  <si>
    <t>More than half don't progress</t>
  </si>
  <si>
    <t>SSF Adoption rate</t>
  </si>
  <si>
    <t>SSF has no Sales stage; fixing rep qualification cannot directly fix this path</t>
  </si>
  <si>
    <t>Section 3 — Q3 | Sales conversation + commitments</t>
  </si>
  <si>
    <t>Sales-led Adoption rate</t>
  </si>
  <si>
    <t>Section 3 — Q2 | First-quarter plan</t>
  </si>
  <si>
    <t>Higher than SSF; doesn't prove support causes the difference</t>
  </si>
  <si>
    <t>SSF share of non-adopters</t>
  </si>
  <si>
    <t>How do you respond to the Head of Sales, and what do you commit to?</t>
  </si>
  <si>
    <t>Acknowledge the Sales pain, commit to a two-week diagnosis, and avoid promising an unproven full qualification rebuild.</t>
  </si>
  <si>
    <t>Most of the count comes from self-signup</t>
  </si>
  <si>
    <t>SSF LeadGen → LeadDev</t>
  </si>
  <si>
    <t>You can't work on everything at once. Lay out your actual priority order for your first quarter, and justify why qualification lands where it does.</t>
  </si>
  <si>
    <t>MY RESPONSE TO THE HEAD OF SALES</t>
  </si>
  <si>
    <t>Acknowledge</t>
  </si>
  <si>
    <t>Decision</t>
  </si>
  <si>
    <t>If reps are spending half their day sorting poor-fit leads, that's worth investigating.</t>
  </si>
  <si>
    <t>Comparable top-of-funnel conversion, not a lead-quality measure</t>
  </si>
  <si>
    <t>Start with the measured adoption leak; investigate Sales lead quality immediately, but only build a bigger qualification solution once its impact is proven.</t>
  </si>
  <si>
    <t>Offer</t>
  </si>
  <si>
    <t>Sales-led LeadGen → LeadDev</t>
  </si>
  <si>
    <t>I'll own a focused review and bring you findings and recommended changes within two weeks.</t>
  </si>
  <si>
    <t>Explain the trade-off</t>
  </si>
  <si>
    <t>The measured adoption drop also needs work, especially for SSF accounts. We should prioritise based on business impact.</t>
  </si>
  <si>
    <t>Conversion alone cannot tell us lead fit or rep effort</t>
  </si>
  <si>
    <t>HOW I'D HANDLE THE SALES CONCERN</t>
  </si>
  <si>
    <t>FIRST-QUARTER ROADMAP</t>
  </si>
  <si>
    <t>EXACT COMMITMENTS</t>
  </si>
  <si>
    <t>Check</t>
  </si>
  <si>
    <t>What I'd look at</t>
  </si>
  <si>
    <t>Order</t>
  </si>
  <si>
    <t>Lead sources + quality</t>
  </si>
  <si>
    <t>When</t>
  </si>
  <si>
    <t>Timing</t>
  </si>
  <si>
    <t>What I'd do</t>
  </si>
  <si>
    <t>Disqualified lead share by source, reason, ICP fit and outcome</t>
  </si>
  <si>
    <t>Output</t>
  </si>
  <si>
    <t>Focus</t>
  </si>
  <si>
    <t>Identify whether a few sources create most wasted effort</t>
  </si>
  <si>
    <t>Measure</t>
  </si>
  <si>
    <t>Deliverable</t>
  </si>
  <si>
    <t>How I'd judge it</t>
  </si>
  <si>
    <t>Rep time + routing</t>
  </si>
  <si>
    <t>Week 1</t>
  </si>
  <si>
    <t>Minutes spent triaging, speed to first action, duplicates, routing misses</t>
  </si>
  <si>
    <t>Measure true time cost before rebuilding qualification</t>
  </si>
  <si>
    <t>Meet with a small sample of reps; inspect representative recent leads, disqualification reasons, sources and routing.</t>
  </si>
  <si>
    <t>1</t>
  </si>
  <si>
    <t>Baseline of actual qualification issues and rep time lost.</t>
  </si>
  <si>
    <t>Downstream outcomes</t>
  </si>
  <si>
    <t>Sampled triage minutes per lead; duplicates; misroutes.</t>
  </si>
  <si>
    <t>Qualified → opportunity/closed-won, onboarding and adoption by lead source</t>
  </si>
  <si>
    <t>Validate the claimed time cost.</t>
  </si>
  <si>
    <t>See whether qualification improves actual customer results</t>
  </si>
  <si>
    <t>Weeks 1–2</t>
  </si>
  <si>
    <t>Practical next move</t>
  </si>
  <si>
    <t>Validate adoption and lead-quality problems</t>
  </si>
  <si>
    <t>Identify easy fixes as soon as they're proven; coordinate with Sales before changing rules.</t>
  </si>
  <si>
    <t>Run a focused audit while investigating adoption and early churn risk</t>
  </si>
  <si>
    <t>One quick fix if warranted (e.g., duplicate prevention or routing).</t>
  </si>
  <si>
    <t>Funnel baseline, event-quality checks; quick rep-time/lead-routing audit</t>
  </si>
  <si>
    <t>Keep the decision evidence-led; reprioritise if Sales impact proves larger</t>
  </si>
  <si>
    <t>Change in duplicates or incorrectly assigned leads.</t>
  </si>
  <si>
    <t>Reliable baseline; evidence of Sales effort, bad leads and source mix</t>
  </si>
  <si>
    <t>Don't wait for a full project to remove clear friction.</t>
  </si>
  <si>
    <t>By end of week 2</t>
  </si>
  <si>
    <t>Share findings with Head of Sales; rank fixes by time saved and downstream opportunity impact.</t>
  </si>
  <si>
    <t>2</t>
  </si>
  <si>
    <t>One-page recommendation and agreed next step.</t>
  </si>
  <si>
    <t>Time spent triaging; share disqualified; qualified → opportunity.</t>
  </si>
  <si>
    <t>BOTTOM LINE</t>
  </si>
  <si>
    <t>Close the loop and make a measured decision.</t>
  </si>
  <si>
    <t>Weeks 3–6</t>
  </si>
  <si>
    <t>Adoption has the clearest measured leak. Lead quality remains a credible hypothesis worth validating quickly, not a proven root cause.</t>
  </si>
  <si>
    <t>After the first fix</t>
  </si>
  <si>
    <t>Review outcomes with Sales; monitor whether the change actually helps.</t>
  </si>
  <si>
    <t>Ship adoption-risk pilot</t>
  </si>
  <si>
    <t>Keep, refine, or roll back the fix.</t>
  </si>
  <si>
    <t>Rep time saved; qualified-to-opportunity rate.</t>
  </si>
  <si>
    <t>Workflow/AI execution signals; daily SSF watchlist with reasons</t>
  </si>
  <si>
    <t>Avoid declaring victory from process changes alone.</t>
  </si>
  <si>
    <t>Usable account flags and acceptable false-alert rate</t>
  </si>
  <si>
    <t>3</t>
  </si>
  <si>
    <t>Weeks 7–9</t>
  </si>
  <si>
    <t>Test targeted intervention</t>
  </si>
  <si>
    <t>SSF guidance and CSx tasks for Sales-led accounts</t>
  </si>
  <si>
    <t>Adoption/feature-use change versus comparison group; actionable follow-ups</t>
  </si>
  <si>
    <t>THE CONTEXT I WOULD EXPLAIN</t>
  </si>
  <si>
    <t>Onboarding → Adoption</t>
  </si>
  <si>
    <t>4</t>
  </si>
  <si>
    <t>Weeks 10–12</t>
  </si>
  <si>
    <t>Fix proven qualification issues</t>
  </si>
  <si>
    <t>Targeted routing/deduplication/source-quality fix, not a CRM rebuild</t>
  </si>
  <si>
    <t>Minutes saved per lead and qualified-to-outcome performance</t>
  </si>
  <si>
    <t>WHY ADOPTION IS FIRST</t>
  </si>
  <si>
    <t>44.2% reach adoption in blended cohort; biggest absolute leak.</t>
  </si>
  <si>
    <t>SSF Onboarding → Adoption</t>
  </si>
  <si>
    <t>41.0%; improving Sales qualification can't directly fix the self-signup journey.</t>
  </si>
  <si>
    <t>Sales triage time claim</t>
  </si>
  <si>
    <t>Unverified (Head of Sales estimate)</t>
  </si>
  <si>
    <t>Measure the time cost before committing to a rebuild.</t>
  </si>
  <si>
    <t>WHAT I'D NOT PROMISE</t>
  </si>
  <si>
    <t>An immediate full qualification overhaul, guaranteed higher lead quality, or that lead quality causes the adoption drop.</t>
  </si>
  <si>
    <t>Monthly cohort</t>
  </si>
  <si>
    <t>Not reaching Adoption</t>
  </si>
  <si>
    <t>Biggest absolute loss across onboarding → adoption</t>
  </si>
  <si>
    <t>Share not reaching Adoption</t>
  </si>
  <si>
    <t>Measured leak, not merely a complaint</t>
  </si>
  <si>
    <t>SSF adoption rate</t>
  </si>
  <si>
    <t>SSF never goes through Sales</t>
  </si>
  <si>
    <t>Sales-led adoption rate</t>
  </si>
  <si>
    <t>SECTION 4  |  SYSTEM DESIGN + TWO-WEEK MVP</t>
  </si>
  <si>
    <t>SECTION 5 — Q1 | CRM limitations</t>
  </si>
  <si>
    <t>Task</t>
  </si>
  <si>
    <t>Design the end-to-end early-warning system. Show an actual diagram, precise signals, data movement and timing, actions, validation, trade-offs and first two-week build.</t>
  </si>
  <si>
    <t>Benchmark for a different customer journey</t>
  </si>
  <si>
    <t>Deliverables</t>
  </si>
  <si>
    <t>Diagram embedded in the Google Doc, with standalone PNG and SVG; this tab documents the logic, proposed schedules and pilot gates.</t>
  </si>
  <si>
    <t>Walk us through what our CRM can and can't answer about the accounts above. Be specific — which questions would a CS lead, a finance person, or Jonas ask that this structure handles badly?</t>
  </si>
  <si>
    <t>Important assumption</t>
  </si>
  <si>
    <t>LEAD QUALITY — TEST EARLY, BUILD IF JUSTIFIED</t>
  </si>
  <si>
    <t>The four Beauty Lounge workspaces appear related, but shared branding/contacts do NOT prove one legal entity or payer.</t>
  </si>
  <si>
    <t>BUSINESS OBJECTIVE — BENCHMARK AND PROPOSED TARGET</t>
  </si>
  <si>
    <t>Basis / meaning</t>
  </si>
  <si>
    <t>Type</t>
  </si>
  <si>
    <t>EXAMPLE — FOUR BEAUTY LOUNGE WORKSPACES</t>
  </si>
  <si>
    <t>SSF adoption baseline</t>
  </si>
  <si>
    <t>Is the time cost real?</t>
  </si>
  <si>
    <t>Sample triage time by rep; duplicates and routing delays; quantify hours lost</t>
  </si>
  <si>
    <t>Workspace</t>
  </si>
  <si>
    <t>Fix quick, obvious problems early</t>
  </si>
  <si>
    <t>Plan</t>
  </si>
  <si>
    <t>Seats</t>
  </si>
  <si>
    <t>Motion</t>
  </si>
  <si>
    <t>Are certain sources low quality?</t>
  </si>
  <si>
    <t>Listed owner</t>
  </si>
  <si>
    <t>Source, ICP match, disqualification reason and cost per qualified opportunity</t>
  </si>
  <si>
    <t>Primary contact</t>
  </si>
  <si>
    <t>Focus on worst sources rather than changing all lead scoring</t>
  </si>
  <si>
    <t>Beauty Lounge Mitte</t>
  </si>
  <si>
    <t>Pro</t>
  </si>
  <si>
    <t>Does qualification change outcomes?</t>
  </si>
  <si>
    <t>self_signup</t>
  </si>
  <si>
    <t>Qualified → opportunity → win → onboarding and adoption by source</t>
  </si>
  <si>
    <t>Expand only if downstream outcomes justify it</t>
  </si>
  <si>
    <t>—</t>
  </si>
  <si>
    <t>m.weber@beautylounge.de</t>
  </si>
  <si>
    <t>When would I re-order?</t>
  </si>
  <si>
    <t>Beauty Lounge Charlottenburg</t>
  </si>
  <si>
    <t>Sales time loss and revenue impact clearly exceed the adoption pilot opportunity</t>
  </si>
  <si>
    <t>Move qualification fixes forward</t>
  </si>
  <si>
    <t>Beauty Lounge Spandau</t>
  </si>
  <si>
    <t>305 / 744 from Section 1</t>
  </si>
  <si>
    <t>Starter</t>
  </si>
  <si>
    <t>Main segment to improve</t>
  </si>
  <si>
    <t>WHAT SUCCESS LOOKS LIKE</t>
  </si>
  <si>
    <t>s.krause@beautylounge.de</t>
  </si>
  <si>
    <t>Proposed SSF adoption target</t>
  </si>
  <si>
    <t>Beauty Lounge GmbH</t>
  </si>
  <si>
    <t>Business</t>
  </si>
  <si>
    <t>sales_led</t>
  </si>
  <si>
    <t>Adoption work</t>
  </si>
  <si>
    <t>Jonas (AE)</t>
  </si>
  <si>
    <t>A working pilot with trusted signals, documented actions and a measured change in adoption or feature use</t>
  </si>
  <si>
    <t>90-day onboarding → adoption, +5 pp experiment target</t>
  </si>
  <si>
    <t>Hypothesis</t>
  </si>
  <si>
    <t>Not a forecast or promised outcome</t>
  </si>
  <si>
    <t>Target improvement (pp)</t>
  </si>
  <si>
    <t>Qualification work</t>
  </si>
  <si>
    <t>Number of workspaces</t>
  </si>
  <si>
    <t>Measured rep time saved and evidence of improved lead outcomes</t>
  </si>
  <si>
    <t>Reality check</t>
  </si>
  <si>
    <t>46% minus 41% = approx. 5 percentage points</t>
  </si>
  <si>
    <t>Calculated</t>
  </si>
  <si>
    <t>Measure against a comparable/holdout cohort</t>
  </si>
  <si>
    <t>Sales-led baseline</t>
  </si>
  <si>
    <t>Separate Workspace records; each has its own subscription.</t>
  </si>
  <si>
    <t>Licensed seats (sum)</t>
  </si>
  <si>
    <t>119 / 216</t>
  </si>
  <si>
    <t>Different journey; not a causal comparator</t>
  </si>
  <si>
    <t>A example watch day</t>
  </si>
  <si>
    <t>Data only proves the adoption drop; Head of Sales's 'half the day' estimate needs validation. The two efforts need not be mutually exclusive.</t>
  </si>
  <si>
    <t>Last depth-feature edit day 19 + candidate 14-day gap</t>
  </si>
  <si>
    <t>Hypothetical</t>
  </si>
  <si>
    <t>Only based on observed actions, not actual run state</t>
  </si>
  <si>
    <t>Days before A cancellation</t>
  </si>
  <si>
    <t>71 - candidate day 33</t>
  </si>
  <si>
    <t>Potential lead time, not a proven alert</t>
  </si>
  <si>
    <t>Seat licences, NOT a verified unique-user count or one legal customer's total.</t>
  </si>
  <si>
    <t>THE SIGNAL — WORKSPACE + AS-OF DATE</t>
  </si>
  <si>
    <t>Signal / field</t>
  </si>
  <si>
    <t>SSF seats (sum)</t>
  </si>
  <si>
    <t>Definition / calculation</t>
  </si>
  <si>
    <t>Owner</t>
  </si>
  <si>
    <t>Confidence rule</t>
  </si>
  <si>
    <t>activation_lag_days</t>
  </si>
  <si>
    <t>First campaign_sent day - account_created day; null if no campaign</t>
  </si>
  <si>
    <t>Warehouse</t>
  </si>
  <si>
    <t>First campaign event is Superchat's Activated definition</t>
  </si>
  <si>
    <t>depth_setup_counts</t>
  </si>
  <si>
    <t>Distinct templates, workflows and agents created</t>
  </si>
  <si>
    <t>Creation is not proof of useful adoption</t>
  </si>
  <si>
    <t>depth_success_14d</t>
  </si>
  <si>
    <t>Successful workflow and AI runs in last 14 days (requires proposed event instrumentation)</t>
  </si>
  <si>
    <t>Product events (new events)</t>
  </si>
  <si>
    <t>If execution events are missing, usage is UNKNOWN, not zero. Never substitute workflow edits.</t>
  </si>
  <si>
    <t>depth_last_success_at</t>
  </si>
  <si>
    <t>Most recent confirmed successful workflow/AI execution timestamp</t>
  </si>
  <si>
    <t>Null last-success timestamp from unavailable telemetry is UNKNOWN, not an inactivity alert.</t>
  </si>
  <si>
    <t>core_msg_14d_delta</t>
  </si>
  <si>
    <t>14-day sent/received versus previous 14 days; account and motion context</t>
  </si>
  <si>
    <t>Product weekly snapshots</t>
  </si>
  <si>
    <t>Steady volume alone doesn't prove health; check bucket dates</t>
  </si>
  <si>
    <t>seat_activation</t>
  </si>
  <si>
    <t>Distinct active licensed users / seats, with verified user identity</t>
  </si>
  <si>
    <t>Product seats/users</t>
  </si>
  <si>
    <t>Never sum invites without event definition</t>
  </si>
  <si>
    <t>commercial_state</t>
  </si>
  <si>
    <t>Paid status, current plan/seats, renewal/downgrade/cancellation events</t>
  </si>
  <si>
    <t>Chargebee subscriptions; Stripe payment evidence only</t>
  </si>
  <si>
    <t>Chargebee is authoritative for paid status; never count Stripe as another subscription.</t>
  </si>
  <si>
    <t>touchpoints</t>
  </si>
  <si>
    <t>CSx owner/last call, completed tasks and lifecycle engagement</t>
  </si>
  <si>
    <t>HubSpot + lifecycle data</t>
  </si>
  <si>
    <t>Contact history missing ≠ no check-in</t>
  </si>
  <si>
    <t>quality_flag</t>
  </si>
  <si>
    <t>Freshness, stable workspace_id, deduplicated event_id, model version</t>
  </si>
  <si>
    <t>Raw + Dagster QA</t>
  </si>
  <si>
    <t>UNKNOWN if data late or join invalid</t>
  </si>
  <si>
    <t>DETERMINISTIC RISK RULES — PILOT, NOT PROVEN THRESHOLDS</t>
  </si>
  <si>
    <t>Tier</t>
  </si>
  <si>
    <t>Starting rule to test</t>
  </si>
  <si>
    <t>Action</t>
  </si>
  <si>
    <t>Suppress / exception</t>
  </si>
  <si>
    <t>WATCH</t>
  </si>
  <si>
    <t>Across the three SSF workspaces.</t>
  </si>
  <si>
    <t>With verified telemetry: no confirmed successful depth usage for a tested 14-day window after onboarding grace. Without it, 'reduced observed interaction' is human-review ONLY.</t>
  </si>
  <si>
    <t>Human review if proxy-only; outreach only when confirmed usage/risk evidence exists.</t>
  </si>
  <si>
    <t>Never turn missing executions or no edits into a claim of non-use.</t>
  </si>
  <si>
    <t>A provisional proxy is not an automated risk or outreach decision.</t>
  </si>
  <si>
    <t>AT RISK</t>
  </si>
  <si>
    <t>Sales-led seats (sum)</t>
  </si>
  <si>
    <t>Reliable WATCH evidence plus an independent signal: repeated execution failures, material messaging decline, or verified downgrade intent.</t>
  </si>
  <si>
    <t>High-priority CSx / approved SSF outreach</t>
  </si>
  <si>
    <t>Evidence and current eligibility must be complete; deduplicate tasks/outreach.</t>
  </si>
  <si>
    <t>Reduce noisy single-metric alerts</t>
  </si>
  <si>
    <t>UNKNOWN</t>
  </si>
  <si>
    <t>Execution events unavailable, source stale, join failed or actor unknown; do not infer customer inactivity.</t>
  </si>
  <si>
    <t>Data-quality review and, separately, low-confidence interaction watchlist if useful.</t>
  </si>
  <si>
    <t>Never auto-message on an UNKNOWN/execution-gap-only proxy.</t>
  </si>
  <si>
    <t>Missing data isn't customer disengagement</t>
  </si>
  <si>
    <t>RECOVERED</t>
  </si>
  <si>
    <t>Confirmed successful depth activity sustained; no urgent open commercial signal</t>
  </si>
  <si>
    <t>Clear/snooze risk and close related task</t>
  </si>
  <si>
    <t>Cooldown/review actions</t>
  </si>
  <si>
    <t>Stop repeat alerts</t>
  </si>
  <si>
    <t>SCOPE</t>
  </si>
  <si>
    <t>Paid active workspaces only for pilot; compare SSF and Sales-led and account age</t>
  </si>
  <si>
    <t>Select owners / playbooks</t>
  </si>
  <si>
    <t>Exclude cancelled, opted-out, just contacted</t>
  </si>
  <si>
    <t>Reason codes + visible audit trail</t>
  </si>
  <si>
    <t>DATA FLOW + TIMING (PROPOSED)</t>
  </si>
  <si>
    <t>Jonas is shown as AE for GmbH, not necessarily the CSx owner.</t>
  </si>
  <si>
    <t>From</t>
  </si>
  <si>
    <t>Connection</t>
  </si>
  <si>
    <t>Destination</t>
  </si>
  <si>
    <t>Contract / guardrail</t>
  </si>
  <si>
    <t>Product backend</t>
  </si>
  <si>
    <t>Existing product event feed</t>
  </si>
  <si>
    <t>Same legal customer / payer?</t>
  </si>
  <si>
    <t>Warehouse raw</t>
  </si>
  <si>
    <t>As received</t>
  </si>
  <si>
    <t>Do not create duplicate Airbyte product sync</t>
  </si>
  <si>
    <t>Not determined from names, domain, or primary contacts.</t>
  </si>
  <si>
    <t>HubSpot + lifecycle interactions</t>
  </si>
  <si>
    <t>Airbyte incremental ingestion</t>
  </si>
  <si>
    <t>Every 4 hours</t>
  </si>
  <si>
    <t>No expensive full resync; use verified IDs</t>
  </si>
  <si>
    <t>Chargebee (subscription) + Stripe (payments)</t>
  </si>
  <si>
    <t>Incremental IDs; Chargebee determines subscription state; Stripe is a payment signal, not another subscription.</t>
  </si>
  <si>
    <t>Dagster</t>
  </si>
  <si>
    <t>WHAT EACH STAKEHOLDER CAN AND CANNOT ANSWER</t>
  </si>
  <si>
    <t>Orchestrate ingestion, QA and model runs</t>
  </si>
  <si>
    <t>Warehouse risk model</t>
  </si>
  <si>
    <t>Daily after sources pass QA</t>
  </si>
  <si>
    <t>On failure send technical Slack alert</t>
  </si>
  <si>
    <t>Warehouse model</t>
  </si>
  <si>
    <t>Hightouch reverse ETL on changed rows</t>
  </si>
  <si>
    <t>HubSpot Workspace object</t>
  </si>
  <si>
    <t>Daily after model success</t>
  </si>
  <si>
    <t>Sync status, reason, last depth success, as-of timestamp</t>
  </si>
  <si>
    <t>Stakeholder</t>
  </si>
  <si>
    <t>HubSpot Workspace risk property change</t>
  </si>
  <si>
    <t>HubSpot workflow / webhook → Make or n8n</t>
  </si>
  <si>
    <t>Their real question</t>
  </si>
  <si>
    <t>SSF / Sales-led action</t>
  </si>
  <si>
    <t>After valid property change</t>
  </si>
  <si>
    <t>What CRM helps with</t>
  </si>
  <si>
    <t>What's unreliable</t>
  </si>
  <si>
    <t>Why / needed check</t>
  </si>
  <si>
    <t>Before action: recheck live eligibility and owner; idempotency = workspace_id + reason + 14-day cooldown.</t>
  </si>
  <si>
    <t>HubSpot actions + email response</t>
  </si>
  <si>
    <t>Airbyte incremental → warehouse</t>
  </si>
  <si>
    <t>CS lead</t>
  </si>
  <si>
    <t>Action feedback and evaluation</t>
  </si>
  <si>
    <t>Which locations need help, and who's responsible?</t>
  </si>
  <si>
    <t>Every 4 hours + daily model</t>
  </si>
  <si>
    <t>Workspace plan, seats, motion and named owner (where set).</t>
  </si>
  <si>
    <t>Avoid re-alerts, measure outcomes</t>
  </si>
  <si>
    <t>Group-wide health, consistent relationship owner, workspace-specific contact context.</t>
  </si>
  <si>
    <t>Workspace → Company links incomplete; a Contact can relate to several Users/Workspaces.</t>
  </si>
  <si>
    <t>LAST MILE + LLM</t>
  </si>
  <si>
    <t>SSF action</t>
  </si>
  <si>
    <t>Approved feature-specific guidance ONLY from reliable risk evidence and live eligibility check.</t>
  </si>
  <si>
    <t>Owner: lifecycle</t>
  </si>
  <si>
    <t>Recheck paid/not cancelled, current status, opt-out and previous outreach immediately before sending.</t>
  </si>
  <si>
    <t>Suppress cancelled/recovered; one message per workspace + reason + cooldown window.</t>
  </si>
  <si>
    <t>Sales-led action</t>
  </si>
  <si>
    <t>HubSpot CSx task with reason, recent usage trend, last successful run and playbook</t>
  </si>
  <si>
    <t>Owner: CSx</t>
  </si>
  <si>
    <t>Recheck current CSx owner, risk status and open task before creating/updating.</t>
  </si>
  <si>
    <t>Same idempotency key; no duplicate task for a repeated daily score.</t>
  </si>
  <si>
    <t>LLM scope</t>
  </si>
  <si>
    <t>Optional brief summary from approved aggregates; no raw message body or AI transcripts</t>
  </si>
  <si>
    <t>Make / n8n</t>
  </si>
  <si>
    <t>Never decides risk or sends unreviewed outreach</t>
  </si>
  <si>
    <t>Keep a source-backed audit trail</t>
  </si>
  <si>
    <t>OPERABILITY + PROOF</t>
  </si>
  <si>
    <t>QA / safety</t>
  </si>
  <si>
    <t>Verify source freshness, workspace IDs, risk model and live billing eligibility; detect duplicate actions and unstable associations.</t>
  </si>
  <si>
    <t>Warehouse + Dagster + CRM</t>
  </si>
  <si>
    <t>No customer action when data UNKNOWN, risk superseded or subscription cancelled.</t>
  </si>
  <si>
    <t>Business metric</t>
  </si>
  <si>
    <t>90-day SSF onboarding → adoption conversion; depth-feature success, downgrades, CSx action completion</t>
  </si>
  <si>
    <t>Cohort reporting</t>
  </si>
  <si>
    <t>Compare matched or holdout workspaces</t>
  </si>
  <si>
    <t>Guardrails</t>
  </si>
  <si>
    <t>False-positive rate, outreach opt-outs, extra CSx workload, Airbyte costs</t>
  </si>
  <si>
    <t>Ops review</t>
  </si>
  <si>
    <t>Not just system uptime</t>
  </si>
  <si>
    <t>TWO-WEEK SHIP PLAN — ONE ENGINEER</t>
  </si>
  <si>
    <t>Build</t>
  </si>
  <si>
    <t>Go / no-go check</t>
  </si>
  <si>
    <t>Defer</t>
  </si>
  <si>
    <t>Verify Workspace–Subscription associations, events and baseline; inspect 50 paid SSF accounts</t>
  </si>
  <si>
    <t>Small warehouse evidence table + event-quality gaps</t>
  </si>
  <si>
    <t>Can reconcile rows, stages and billing?</t>
  </si>
  <si>
    <t>Custom ML score, separate app</t>
  </si>
  <si>
    <t>Model review-only candidate signals from currently available events; specify missing successful workflow/AI execution instrumentation.</t>
  </si>
  <si>
    <t>Low-confidence evidence table and reason codes; no automated outreach from edit/trigger proxy.</t>
  </si>
  <si>
    <t>No 'no workflow edit' = 'stopped running'; unsupported executions remain UNKNOWN.</t>
  </si>
  <si>
    <t>Complex behavioral event tracking</t>
  </si>
  <si>
    <t>Week 2</t>
  </si>
  <si>
    <t>Run daily Dagster model; Hightouch sync into a HubSpot test view</t>
  </si>
  <si>
    <t>Risk/status/reason/as-of, model monitoring</t>
  </si>
  <si>
    <t>Correct workspace, no duplicate tasks</t>
  </si>
  <si>
    <t>Real-time high-frequency recomputation</t>
  </si>
  <si>
    <t>Pilot owner-approved actions only with independent reliable risk evidence; add live eligibility check and dedupe/cooldown.</t>
  </si>
  <si>
    <t>Small gated pilot + audit log of action, reason, source age and idempotency key.</t>
  </si>
  <si>
    <t>Approved owner, current billing status, valid risk, correct contact and no duplicate/suppressed action.</t>
  </si>
  <si>
    <t>Automated AI outreach at scale</t>
  </si>
  <si>
    <t>SOURCE / DIAGRAM</t>
  </si>
  <si>
    <t>The architecture diagram is embedded in the Google Doc and available as standalone PNG + editable SVG.</t>
  </si>
  <si>
    <t>SECTION 5 — Q2 | VERIFIED MULTI-WORKSPACE CRM MODEL</t>
  </si>
  <si>
    <t>Superchat is moving upmarket, and accounts like this will become more common, and bigger. Redesign the model: what changes, what stays, and why? Show the objects and how they relate.</t>
  </si>
  <si>
    <t>Design decision</t>
  </si>
  <si>
    <t>Keep existing HubSpot objects and Workspace as the product grain. Add verified operating, billing and buying relationships; no name/domain-based grouping.</t>
  </si>
  <si>
    <t>OBJECTS — WHAT STAYS, WHAT CHANGES</t>
  </si>
  <si>
    <t>Object</t>
  </si>
  <si>
    <t>Keep</t>
  </si>
  <si>
    <t>Finance</t>
  </si>
  <si>
    <t>Change / add</t>
  </si>
  <si>
    <t>Identity / relationship</t>
  </si>
  <si>
    <t>How much recurring revenue and renewal exposure does Beauty Lounge represent?</t>
  </si>
  <si>
    <t>Separate CB Subscription records where Workspace associations work.</t>
  </si>
  <si>
    <t>Consolidated revenue, common payer, legal parent, joint renewal/contract scope.</t>
  </si>
  <si>
    <t>No reliable corporate hierarchy; sample lacks price, payer and renewal fields.</t>
  </si>
  <si>
    <t>Company</t>
  </si>
  <si>
    <t>Existing Company object; native parent-child capability</t>
  </si>
  <si>
    <t>Are the three SSF sites tied to my 25-seat GmbH deal; is that expansion?</t>
  </si>
  <si>
    <t>Verify legal/operating hierarchy; optional group parent; explicit business associations</t>
  </si>
  <si>
    <t>GmbH Workspace is Sales-led with Jonas listed as AE.</t>
  </si>
  <si>
    <t>Which other Workspaces belong to his commercial relationship.</t>
  </si>
  <si>
    <t>HubSpot company ID; external legal/billing reference where available</t>
  </si>
  <si>
    <t>Shared domain / contact do not prove a deal covers separate subscriptions.</t>
  </si>
  <si>
    <t>Group reporting without fictional mergers</t>
  </si>
  <si>
    <t>Existing backend-created product account, plan, seats, motion, risk fields</t>
  </si>
  <si>
    <t>Associate with verified operating Company; keep Workspace owner separate</t>
  </si>
  <si>
    <t>product workspace_id; usually one verified operating Company</t>
  </si>
  <si>
    <t>EXISTING CRM STRUCTURE — WHAT CAUSES THE GAP</t>
  </si>
  <si>
    <t>Exact account to target with Section 4 risk action</t>
  </si>
  <si>
    <t>CB Subscription</t>
  </si>
  <si>
    <t>Existing backend-created subscription mirror of Chargebee</t>
  </si>
  <si>
    <t>Associate the verified payer Company (which can differ from operator) and preserve subscription history; Chargebee remains authoritative.</t>
  </si>
  <si>
    <t>Real product workspace; sent from backend in real time.</t>
  </si>
  <si>
    <t>Chargebee subscription_id; authoritative Workspace link</t>
  </si>
  <si>
    <t>Use workspace_id as the reporting grain.</t>
  </si>
  <si>
    <t>Chargebee is the billing source; associations join CRM records, not replace billing truth.</t>
  </si>
  <si>
    <t>Not itself a legal parent account.</t>
  </si>
  <si>
    <t>User</t>
  </si>
  <si>
    <t>Existing one User per workspace membership</t>
  </si>
  <si>
    <t>Preserve User-to-Workspace and User-to-Contact links; verify login ID</t>
  </si>
  <si>
    <t>Billing subscription mirrors Chargebee; one per shown Workspace.</t>
  </si>
  <si>
    <t>workspace_id + user_id; may share login ID across Workspaces</t>
  </si>
  <si>
    <t>Works when Workspace association is correct.</t>
  </si>
  <si>
    <t>Don't confuse person and membership</t>
  </si>
  <si>
    <t>Can't infer a shared payer across four subscriptions.</t>
  </si>
  <si>
    <t>Contact</t>
  </si>
  <si>
    <t>Existing real person record</t>
  </si>
  <si>
    <t>User / Contact</t>
  </si>
  <si>
    <t>Keep one identity but do not use Contact as proof of Workspace ownership</t>
  </si>
  <si>
    <t>Users are workspace-specific; shared login can map multiple Users to one Contact.</t>
  </si>
  <si>
    <t>Contact ID / matched verified identity</t>
  </si>
  <si>
    <t>User and Contact remain distinct.</t>
  </si>
  <si>
    <t>One person may work across many workspaces</t>
  </si>
  <si>
    <t>Contact-only reports can mix workspace activity or double-count people.</t>
  </si>
  <si>
    <t>Deal</t>
  </si>
  <si>
    <t>Existing Sales-led opportunity only</t>
  </si>
  <si>
    <t>Business representation; manually or domain created.</t>
  </si>
  <si>
    <t>Associate buying Company and explicit in-scope Workspace(s); contract scope validated</t>
  </si>
  <si>
    <t>Deal ID; optional Workspace links</t>
  </si>
  <si>
    <t>Workspace → Company association type exists.</t>
  </si>
  <si>
    <t>Jonas's opportunity scope is not all shared contacts</t>
  </si>
  <si>
    <t>Not consistently populated; no parent/child hierarchy.</t>
  </si>
  <si>
    <t>Lead</t>
  </si>
  <si>
    <t>Deal / Lead</t>
  </si>
  <si>
    <t>Existing prequalification object</t>
  </si>
  <si>
    <t>Deal represents Sales-led opportunity; Lead is prequalification.</t>
  </si>
  <si>
    <t>Jonas may use the GmbH Deal/Workspace.</t>
  </si>
  <si>
    <t>Keep original routing/qualification workflows</t>
  </si>
  <si>
    <t>SSF workspaces have no Sales-led Deal; deal relation must be verified.</t>
  </si>
  <si>
    <t>Existing Lead ↔ Contact/Company semantics</t>
  </si>
  <si>
    <t>Do not create Sales opportunity for all SSF</t>
  </si>
  <si>
    <t>RELATIONSHIPS — PROPOSED CARDINALITY AND TRUST</t>
  </si>
  <si>
    <t>Workspace-level facts are usable. Cross-workspace reporting, revenue roll-ups and owner/action decisions require verified associations and group identity.</t>
  </si>
  <si>
    <t>NEXT DESIGN QUESTION</t>
  </si>
  <si>
    <t>Q2 will propose what changes, what stays and how to relate the objects; this sheet only describes current limitations.</t>
  </si>
  <si>
    <t>Other sampled SSF accounts</t>
  </si>
  <si>
    <t>Physio Nord Hamburg (Pro, 11 seats) and Café Milo (Starter, 3 seats) have visible Workspace-level facts but no verified group relationship.</t>
  </si>
  <si>
    <t>What we cannot assume</t>
  </si>
  <si>
    <t>Their names, primary contacts and workspace records do not establish a legal parent, shared bill-to Company, ownership of other workspaces or expansion scope.</t>
  </si>
  <si>
    <t>SECTION 5 — Q3 | SAFE LIVE CRM MIGRATION</t>
  </si>
  <si>
    <t>To</t>
  </si>
  <si>
    <t>Cardinality / association</t>
  </si>
  <si>
    <t>Verified from</t>
  </si>
  <si>
    <t>Used for</t>
  </si>
  <si>
    <t>Your redesign has to happen on a live CRM that GTM teams use every day. What would you change first, what would you deliberately leave alone, and what could go wrong in between?</t>
  </si>
  <si>
    <t>Parent Company</t>
  </si>
  <si>
    <t>Operating Company</t>
  </si>
  <si>
    <t>Audit and validate associations first. Pilot only verified links, compare with the live setup, then roll out in batches with a reversible change log.</t>
  </si>
  <si>
    <t>Parent 1→many; child has 0..1 verified parent (where applicable)</t>
  </si>
  <si>
    <t>Legal/contract confirmation, reviewed group mapping</t>
  </si>
  <si>
    <t>Corporate group view; don't infer franchise relationship</t>
  </si>
  <si>
    <t>One verified operating Company → many Workspaces; unassigned allowed during review</t>
  </si>
  <si>
    <t>ROLL OUT IN CONTROLLED STEPS</t>
  </si>
  <si>
    <t>Contract / CSx or Finance confirmation</t>
  </si>
  <si>
    <t>CS coverage and consolidated workspace view</t>
  </si>
  <si>
    <t>Phase</t>
  </si>
  <si>
    <t>One current CB Subscription per sample Workspace; verified product-billing link; preserve historical records.</t>
  </si>
  <si>
    <t>Backend workspace_id + Chargebee subscription_id</t>
  </si>
  <si>
    <t>CRM association is a join, not the subscription source of truth.</t>
  </si>
  <si>
    <t>Bill-to Company</t>
  </si>
  <si>
    <t>Output / go-no-go check</t>
  </si>
  <si>
    <t>Owners</t>
  </si>
  <si>
    <t>Bill-to Company is a distinct association role of the existing Company type; payer can equal or differ from operating Company.</t>
  </si>
  <si>
    <t>Keep working</t>
  </si>
  <si>
    <t>Chargebee payer/account data, Finance review</t>
  </si>
  <si>
    <t>Week 1 — Inventory</t>
  </si>
  <si>
    <t>Correct billing vs operating roll-ups</t>
  </si>
  <si>
    <t>Map current HubSpot association workflows, retries and fallbacks by self-signup, checkout link and partner. Count missing/wrong/duplicate links.</t>
  </si>
  <si>
    <t>List of workflows, association IDs, exceptions and current reports; snapshot configurations.</t>
  </si>
  <si>
    <t>RevOps + CRM owner</t>
  </si>
  <si>
    <t>No edits to production routing or billing</t>
  </si>
  <si>
    <t>One Workspace → many Users (membership-specific User records)</t>
  </si>
  <si>
    <t>Week 1 — Rules</t>
  </si>
  <si>
    <t>Product workspace and user IDs</t>
  </si>
  <si>
    <t>Active users and seat usage</t>
  </si>
  <si>
    <t>Many User memberships → one person Contact, when identity verified</t>
  </si>
  <si>
    <t>Login/person mapping; not name alone</t>
  </si>
  <si>
    <t>Avoid double counting a person</t>
  </si>
  <si>
    <t>Buying Company</t>
  </si>
  <si>
    <t>One Company → many Sales-led Deals, buyer explicitly recorded</t>
  </si>
  <si>
    <t>Signed opportunity/contract details</t>
  </si>
  <si>
    <t>Sales pipeline at correct company level</t>
  </si>
  <si>
    <t>Workspace(s)</t>
  </si>
  <si>
    <t>Explicit optional many-to-many opportunity scope</t>
  </si>
  <si>
    <t>Deal/contract scope confirmed by AE</t>
  </si>
  <si>
    <t>No automatic cross-workspace expansions</t>
  </si>
  <si>
    <t>Define authoritative external IDs AND a single permitted writer per association type; verify operating, payer and Deal scope. Stage unknowns for review.</t>
  </si>
  <si>
    <t>Writer/role registry + versioned association mapping; gate duplicate legacy branches for pilot records.</t>
  </si>
  <si>
    <t>BEAUTY LOUNGE — WHAT WE CAN AND CANNOT ASSUME</t>
  </si>
  <si>
    <t>RevOps + CSx + Finance + Sales</t>
  </si>
  <si>
    <t>Preserve working syncs and save previous workflow branches for rapid rollback.</t>
  </si>
  <si>
    <t>Week 2 — Dry run</t>
  </si>
  <si>
    <t>Use a sample with Beauty Lounge, SSF, Sales-led and partner/checkout routes. Build read-only comparison mapping.</t>
  </si>
  <si>
    <t>Review correct Company-to-Workspace links with owners before any write.</t>
  </si>
  <si>
    <t>Operating Company association</t>
  </si>
  <si>
    <t>RevOps + record owners</t>
  </si>
  <si>
    <t>Opportunity scope</t>
  </si>
  <si>
    <t>Do not trigger customer workflows</t>
  </si>
  <si>
    <t>Week 2 — Small write pilot</t>
  </si>
  <si>
    <t>Write only approved links through the assigned writer; shadow/gate conflicting HubSpot fallback branches on pilot records; review diffs.</t>
  </si>
  <si>
    <t>Unverified; review first</t>
  </si>
  <si>
    <t>Not automatically Jonas's</t>
  </si>
  <si>
    <t>Subscription totals reconcile, Workspace ownership unchanged, no duplicate CSx tasks.</t>
  </si>
  <si>
    <t>RevOps + GTM Ops</t>
  </si>
  <si>
    <t>No second writer for same association type; restore old branch on rollback.</t>
  </si>
  <si>
    <t>After sign-off — expand</t>
  </si>
  <si>
    <t>Backfill in small batches, log all changes, publish new group reports only when reconciled.</t>
  </si>
  <si>
    <t>Explicit approval from Finance/CSx/Sales; stop on mismatch.</t>
  </si>
  <si>
    <t>RevOps + Finance</t>
  </si>
  <si>
    <t>Rollback only newly changed associations</t>
  </si>
  <si>
    <t>CHANGE FIRST VS LEAVE ALONE</t>
  </si>
  <si>
    <t>Area</t>
  </si>
  <si>
    <t>Needs validation too</t>
  </si>
  <si>
    <t>Change first</t>
  </si>
  <si>
    <t>Jonas owns stated AE record; verify Deal scope</t>
  </si>
  <si>
    <t>Leave alone</t>
  </si>
  <si>
    <t>Reason</t>
  </si>
  <si>
    <t>Across 4 Workspaces</t>
  </si>
  <si>
    <t>Validation</t>
  </si>
  <si>
    <t>SECTION 6 — Q1 | SEMANTIC EVENT DRIFT (OPTIONAL)</t>
  </si>
  <si>
    <t>Workspace → Company</t>
  </si>
  <si>
    <t>Populate the existing link only when the operating Company is confirmed.</t>
  </si>
  <si>
    <t>Workspace product IDs, lifecycle/risk data and product-created records.</t>
  </si>
  <si>
    <t>Risk alerts remain at Workspace level.</t>
  </si>
  <si>
    <t>Verified source and reviewer</t>
  </si>
  <si>
    <t>Company hierarchy</t>
  </si>
  <si>
    <t>Add parent-child only for confirmed corporate relationships.</t>
  </si>
  <si>
    <t>Avoid bulk Company merges or domain-based grouping.</t>
  </si>
  <si>
    <t>Trace what this does to your system — the signal, the flags, the actions. Where does the damage land first, who feels it, and after how long?</t>
  </si>
  <si>
    <t>Franchise/brand ≠ necessarily common legal parent.</t>
  </si>
  <si>
    <t>Legal entity evidence</t>
  </si>
  <si>
    <t>Scenario</t>
  </si>
  <si>
    <t>CB Subscription / bill-to</t>
  </si>
  <si>
    <t>Automatic channel updates migrate affected workflows for three weeks. Each migration emits workflow_edited despite no customer action. Syncs remain green.</t>
  </si>
  <si>
    <t>Verify Workspace subscription ID and separate bill-to Company when payer is known.</t>
  </si>
  <si>
    <t>Backend mirror and Chargebee billing.</t>
  </si>
  <si>
    <t>Key distinction</t>
  </si>
  <si>
    <t>No double-counting or wrong payer totals.</t>
  </si>
  <si>
    <t>Licensed seats across sample — not a verified group total</t>
  </si>
  <si>
    <t>If Section 4 uses confirmed successful executions, these edits should not affect risk or actions. A leftover last-edit proxy, dashboard or suppression rule is vulnerable.</t>
  </si>
  <si>
    <t>Grouping UNKNOWN</t>
  </si>
  <si>
    <t>Subscription-by-subscription reconciliation</t>
  </si>
  <si>
    <t>Do not sum group MRR before payer verification</t>
  </si>
  <si>
    <t>User → Contact</t>
  </si>
  <si>
    <t>Validate shared login identity across multiple Workspace Users.</t>
  </si>
  <si>
    <t>Existing User membership and Contact objects.</t>
  </si>
  <si>
    <t>TRACE THE FAILURE THROUGH THE STACK</t>
  </si>
  <si>
    <t>IMPLEMENTATION GUARDRAILS</t>
  </si>
  <si>
    <t>Shared Contact does not prove ownership.</t>
  </si>
  <si>
    <t>User + Workspace keys</t>
  </si>
  <si>
    <t>Identity</t>
  </si>
  <si>
    <t>Where</t>
  </si>
  <si>
    <t>Link buying Company and explicitly in-scope Workspaces for Sales-led Deal.</t>
  </si>
  <si>
    <t>Stable workspace/subscription/user IDs; deduplicate by external keys</t>
  </si>
  <si>
    <t>What changes</t>
  </si>
  <si>
    <t>SSF signup flow; existing Lead &amp; Deal creation.</t>
  </si>
  <si>
    <t>When (proposed S4 cadence)</t>
  </si>
  <si>
    <t>Avoid email-domain rules to create corporate group</t>
  </si>
  <si>
    <t>Avoid assigning Jonas all related-looking accounts.</t>
  </si>
  <si>
    <t>Business consequence</t>
  </si>
  <si>
    <t>Owner: data + RevOps</t>
  </si>
  <si>
    <t>AE confirmation of Deal scope</t>
  </si>
  <si>
    <t>Protect existing backend sync</t>
  </si>
  <si>
    <t>Association workflows</t>
  </si>
  <si>
    <t>Source of truth</t>
  </si>
  <si>
    <t>Assign one writer per association type; keep fallback workflows in shadow/read-only on pilot records, or disable only their conflicting write branches.</t>
  </si>
  <si>
    <t>Product backend = usage; Chargebee = authoritative subscriptions/revenue; Stripe = payment evidence; Sales = deal/buying context.</t>
  </si>
  <si>
    <t>Keep working creation and unrelated retry paths; snapshot configuration before gating.</t>
  </si>
  <si>
    <t>One active subscription counted once, as-of-date reporting</t>
  </si>
  <si>
    <t>Owner: billing / CRM</t>
  </si>
  <si>
    <t>Prevents last-writer-wins overwrites, loops and association churn.</t>
  </si>
  <si>
    <t>No double counted revenue</t>
  </si>
  <si>
    <t>Track writer/version, association history, retries and orphan/duplicate rates.</t>
  </si>
  <si>
    <t>Stage unresolved association records for review; record verification status/source and review date</t>
  </si>
  <si>
    <t>Do not fabricate missing Company links</t>
  </si>
  <si>
    <t>Owner: Sales/CSx/Finance</t>
  </si>
  <si>
    <t>WHAT COULD FAIL AND HOW I'D CATCH IT</t>
  </si>
  <si>
    <t>Clear unknown vs confirmed</t>
  </si>
  <si>
    <t>Ownership</t>
  </si>
  <si>
    <t>Group/account owner can differ from Workspace-level CSx or AE</t>
  </si>
  <si>
    <t>Failure mode</t>
  </si>
  <si>
    <t>Use explicit owners/roles; avoid fan-out of tasks</t>
  </si>
  <si>
    <t>Owner: GTM Ops</t>
  </si>
  <si>
    <t>User/business impact</t>
  </si>
  <si>
    <t>Right people see right customer</t>
  </si>
  <si>
    <t>Early check</t>
  </si>
  <si>
    <t>Immediate containment</t>
  </si>
  <si>
    <t>Recovery</t>
  </si>
  <si>
    <t>Pilot</t>
  </si>
  <si>
    <t>Wrong Company link</t>
  </si>
  <si>
    <t>Validate Beauty Lounge relationships with stakeholders, then expand mapping gradually</t>
  </si>
  <si>
    <t>Wrong group health and commercial ownership.</t>
  </si>
  <si>
    <t>No bulk merges or new custom object in first release</t>
  </si>
  <si>
    <t>Sample records + review exceptions.</t>
  </si>
  <si>
    <t>Owner: RevOps</t>
  </si>
  <si>
    <t>Stop mapping writes; suppress group automation.</t>
  </si>
  <si>
    <t>Minimal risk to live CRM</t>
  </si>
  <si>
    <t>Restore original association from change log</t>
  </si>
  <si>
    <t>System migration fires valid workflow_edited. The event's meaning now includes non-user work.</t>
  </si>
  <si>
    <t>Workflow race / duplicate links</t>
  </si>
  <si>
    <t>As channel changes occur over 3 weeks</t>
  </si>
  <si>
    <t>Existing fallback overwrites mapping; duplicates or orphans.</t>
  </si>
  <si>
    <t>Raw event stream becomes misleading if treated as user activity</t>
  </si>
  <si>
    <t>Unexpected association counts; duplicate IDs; retry spikes.</t>
  </si>
  <si>
    <t>Stop new association writer and reactivate previous safe branch as appropriate.</t>
  </si>
  <si>
    <t>Company (parent/operating/bill-to roles) = verified business identities; Workspace = product/risk grain; CB Subscription = Chargebee mirror; User↔Contact = identity; Deal = commercial scope. Diagram embedded in Doc.</t>
  </si>
  <si>
    <t>Reconcile and replay safe batch</t>
  </si>
  <si>
    <t>Naive last-edit/last-activity timestamp refreshes; a derived WATCH may clear or be delayed.</t>
  </si>
  <si>
    <t>Billing mismatch</t>
  </si>
  <si>
    <t>Next daily model after ingestion</t>
  </si>
  <si>
    <t>Inflated MRR, wrong payer, duplicate renewals.</t>
  </si>
  <si>
    <t>First incorrect business classification, if proxy used</t>
  </si>
  <si>
    <t>Compare each subscription ID and Finance totals before/after.</t>
  </si>
  <si>
    <t>Hide new consolidated report until reconciled.</t>
  </si>
  <si>
    <t>Hightouch → HubSpot Workspace</t>
  </si>
  <si>
    <t>Recalculate from Chargebee IDs</t>
  </si>
  <si>
    <t>Wrong WATCH/AT RISK status or reason may sync, subject to other independent signals.</t>
  </si>
  <si>
    <t>Next daily reverse-ETL after model</t>
  </si>
  <si>
    <t>Wrong CSx task / outreach</t>
  </si>
  <si>
    <t>GTM sees fewer accounts apparently needing help</t>
  </si>
  <si>
    <t>Tasks reach wrong owner or account; unwanted customer contact.</t>
  </si>
  <si>
    <t>Test tasks in a non-live/restricted view and inspect trigger ownership.</t>
  </si>
  <si>
    <t>Disable new group-triggered tasks/outreach.</t>
  </si>
  <si>
    <t>HubSpot → Make/n8n</t>
  </si>
  <si>
    <t>Clean tasks and review already-sent communications</t>
  </si>
  <si>
    <t>Property-change actions may close/suppress tasks or lifecycle nudges; depends on trigger logic.</t>
  </si>
  <si>
    <t>Late data / failed association</t>
  </si>
  <si>
    <t>Shortly after CRM update</t>
  </si>
  <si>
    <t>Less intervention for genuinely struggling accounts</t>
  </si>
  <si>
    <t>Records look unlinked; false alerts or wrong ownership.</t>
  </si>
  <si>
    <t>5</t>
  </si>
  <si>
    <t>Freshness and exception dashboard; Dagster/Hightouch sync checks.</t>
  </si>
  <si>
    <t>CSx + lifecycle teams</t>
  </si>
  <si>
    <t>Mark UNKNOWN; do not auto-remap from missing data.</t>
  </si>
  <si>
    <t>Follow-up queues and SSF guidance opportunities shrink incorrectly.</t>
  </si>
  <si>
    <t>Retry once sources catch up</t>
  </si>
  <si>
    <t>Same / following day</t>
  </si>
  <si>
    <t>Teams trust a false sense of improvement</t>
  </si>
  <si>
    <t>6</t>
  </si>
  <si>
    <t>Customers / outcomes</t>
  </si>
  <si>
    <t>Customers may miss support; effects on retention or adoption can emerge later.</t>
  </si>
  <si>
    <t>Days to weeks; effects persist after 3 weeks</t>
  </si>
  <si>
    <t>BEAUTY LOUNGE CHECK — NOT PROOF OF A CORPORATE GROUP</t>
  </si>
  <si>
    <t>Business loss can lag well behind valid green syncs</t>
  </si>
  <si>
    <t>Sample Workspaces</t>
  </si>
  <si>
    <t>DESIGN INTENT VS PROXY FAILURE</t>
  </si>
  <si>
    <t>Implementation</t>
  </si>
  <si>
    <t>Impact of automatic edits</t>
  </si>
  <si>
    <t>Requirement</t>
  </si>
  <si>
    <t>Caveat</t>
  </si>
  <si>
    <t>Intended S4 risk signal</t>
  </si>
  <si>
    <t>NO: properly implemented risk and CRM actions do not change from edits alone.</t>
  </si>
  <si>
    <t>Use successful workflow/AI executions as evidence of use</t>
  </si>
  <si>
    <t>Separate actor/system edits from success telemetry</t>
  </si>
  <si>
    <t>Independent billing/failure signals still apply</t>
  </si>
  <si>
    <t>Stopgap last-edit proxy</t>
  </si>
  <si>
    <t>POSSIBLE FALSE HEALTH</t>
  </si>
  <si>
    <t>Background system edits update apparent recency without proving customer engagement.</t>
  </si>
  <si>
    <t>Treat proxy as low-confidence; exclude system activity</t>
  </si>
  <si>
    <t>Not every at-risk flag necessarily disappears</t>
  </si>
  <si>
    <t>Infrastructure status</t>
  </si>
  <si>
    <t>ALL GREEN</t>
  </si>
  <si>
    <t>Event schema valid and ingestion/transformation/sync succeed</t>
  </si>
  <si>
    <t>Semantic QA, not only pipeline health</t>
  </si>
  <si>
    <t>A high event count is not higher adoption</t>
  </si>
  <si>
    <t>ILLUSTRATIVE ACCOUNT A CHECK — DAY 40 MIGRATION IS HYPOTHETICAL</t>
  </si>
  <si>
    <t>Existing separate Workspace records.</t>
  </si>
  <si>
    <t>Known sample</t>
  </si>
  <si>
    <t>Variable</t>
  </si>
  <si>
    <t>4 Workspaces</t>
  </si>
  <si>
    <t>Day / result</t>
  </si>
  <si>
    <t>Definition / example</t>
  </si>
  <si>
    <t>Status</t>
  </si>
  <si>
    <t>Licensed seats across sample</t>
  </si>
  <si>
    <t>Last recorded workflow edit</t>
  </si>
  <si>
    <t>Observed workflow_edited on day 19; event extract does NOT identify the actor.</t>
  </si>
  <si>
    <t>Automatic system migration</t>
  </si>
  <si>
    <t>Sum of licence seats, not one verified customer's total.</t>
  </si>
  <si>
    <t>Example only — NOT asserted to have happened to Account A</t>
  </si>
  <si>
    <t>43 seats</t>
  </si>
  <si>
    <t>Evaluation day</t>
  </si>
  <si>
    <t>One day after hypothetical migration</t>
  </si>
  <si>
    <t>Verified operating Companies</t>
  </si>
  <si>
    <t>Unknown</t>
  </si>
  <si>
    <t>Candidate threshold (days)</t>
  </si>
  <si>
    <t>Sales/CSx/Finance must confirm relationship.</t>
  </si>
  <si>
    <t>Proposed watch threshold to test (not established truth)</t>
  </si>
  <si>
    <t>Pending</t>
  </si>
  <si>
    <t>Design hypothesis</t>
  </si>
  <si>
    <t>Do not assume one parent Company</t>
  </si>
  <si>
    <t>Naive days since last edit</t>
  </si>
  <si>
    <t>Verified bill-to Companies</t>
  </si>
  <si>
    <t>Billing data / Finance must confirm payer.</t>
  </si>
  <si>
    <t>Don't aggregate MRR as one payer</t>
  </si>
  <si>
    <t>Jonas Deal scope</t>
  </si>
  <si>
    <t>AE must confirm exactly which Workspaces are included.</t>
  </si>
  <si>
    <t>No automatic expansion assumption</t>
  </si>
  <si>
    <t>GO / NO-GO BEFORE ROLLOUT</t>
  </si>
  <si>
    <t>Pilot requirements</t>
  </si>
  <si>
    <t>Verified Company/payer identity; single writer per association type; old/new association audit; reconciled Chargebee IDs; correct owners; no duplicate tasks; rollback rehearsal and GTM sign-off.</t>
  </si>
  <si>
    <t>Day 41 - automatic day 40 = 1</t>
  </si>
  <si>
    <t>First two-week outcome</t>
  </si>
  <si>
    <t>Association map, failure baseline, write-ownership design, gated Beauty Lounge pilot, reconciliation, approval and rollback path.</t>
  </si>
  <si>
    <t>Days since earlier recorded edit</t>
  </si>
  <si>
    <t>Working note</t>
  </si>
  <si>
    <t>What I would check with access: HubSpot association workflow branches, retry logs, custom association labels, Chargebee customer IDs and the real Beauty Lounge contract hierarchy.</t>
  </si>
  <si>
    <t>Day 41 - day 19 = 22. Not necessarily a user edit.</t>
  </si>
  <si>
    <t>Naive edit-based watch?</t>
  </si>
  <si>
    <t>False 'NO WATCH' from contaminated proxy</t>
  </si>
  <si>
    <t>Illustrative</t>
  </si>
  <si>
    <t>Proxy watch without example migration?</t>
  </si>
  <si>
    <t>WATCH from an edit-based proxy alone; NOT confirmed workflow inactivity.</t>
  </si>
  <si>
    <t>Days of apparent freshness invented</t>
  </si>
  <si>
    <t>WHAT I WOULD CHECK FIRST</t>
  </si>
  <si>
    <t>Semantic check</t>
  </si>
  <si>
    <t>Compare edit spike vs successful workflow executions and deployment history; inspect actor/origin and every use in warehouse models, dashboards, HubSpot flags and Make/n8n suppression rules.</t>
  </si>
  <si>
    <t>If event origin cannot be distinguished, mark edit-based engagement proxy UNTRUSTED.</t>
  </si>
  <si>
    <t>Who is affected</t>
  </si>
  <si>
    <t>Workspaces where risk_status, reason or last_activity changed after automatic edits; downstream task/outreach suppressions.</t>
  </si>
  <si>
    <t>Do not assume every migrated Workspace became false healthy.</t>
  </si>
  <si>
    <t>Key takeaway</t>
  </si>
  <si>
    <t>Correct S4 model: no risk change. Residual edit-based dependencies: potentially false health, even with all technical syncs green.</t>
  </si>
  <si>
    <t>The timing is next daily model and CRM sync, with effects accumulating across 3 weeks.</t>
  </si>
  <si>
    <t>SECTION 6 — Q2 | INCIDENT CLEANUP + CHEAP REPLAY</t>
  </si>
  <si>
    <t>Three weeks pass before anyone notices. Walk through the cleanup: what do you recompute, what do you do about actions your system already took on the wrong accounts, and how do you handle it when full re-ingestion is expensive?</t>
  </si>
  <si>
    <t>Core distinction</t>
  </si>
  <si>
    <t>The correctly implemented execution-based Section 4 model should be unaffected by automatic edits. Recompute only dependencies that still misinterpret workflow_edited as human engagement, and review their downstream actions.</t>
  </si>
  <si>
    <t>WHAT COULD HAVE BEEN CORRUPTED</t>
  </si>
  <si>
    <t>SECTION 6 — Q3 | LOW-COST SEMANTIC DRIFT MONITOR</t>
  </si>
  <si>
    <t>Path</t>
  </si>
  <si>
    <t>What to check</t>
  </si>
  <si>
    <t>Likely correction</t>
  </si>
  <si>
    <t>Do not assume</t>
  </si>
  <si>
    <t>Evidence source</t>
  </si>
  <si>
    <t>Confirmed execution-based risk</t>
  </si>
  <si>
    <t>Successful workflow/AI runs, independent message and billing signals</t>
  </si>
  <si>
    <t>Often no correction required</t>
  </si>
  <si>
    <t>Original question</t>
  </si>
  <si>
    <t>That every migrated account is false healthy</t>
  </si>
  <si>
    <t>Warehouse daily snapshots + raw runs</t>
  </si>
  <si>
    <t>You couldn't have predicted this exact change. What's the cheapest thing you could have built to catch it — and surprises like it — in a week instead of three?</t>
  </si>
  <si>
    <t>Temporary last-edit activity proxy</t>
  </si>
  <si>
    <t>Recent activity, candidate WATCH, risk reasons, recovered states</t>
  </si>
  <si>
    <t>Design rule</t>
  </si>
  <si>
    <t>Exclude system edits; reclassify affected decisions</t>
  </si>
  <si>
    <t>That a creation/edit event proves a workflow ran</t>
  </si>
  <si>
    <t>Daily Dagster SQL integrity check BEFORE the edit-dependent Hightouch sync. Compare rolling and frozen last-known-good baselines, alert RevOps/Engineering, and hold only untrusted edit-derived outputs. Without execution telemetry, still detect rate/recovery drift; engagement stays UNKNOWN.</t>
  </si>
  <si>
    <t>Raw product events + migration log</t>
  </si>
  <si>
    <t>Unknown actor/origin</t>
  </si>
  <si>
    <t>Edits that cannot be attributed to user or system</t>
  </si>
  <si>
    <t>Mark edit-based engagement UNKNOWN; no automatic outreach</t>
  </si>
  <si>
    <t>That time coincidence proves an event is system-originated</t>
  </si>
  <si>
    <t>Engineering source / deployment metadata</t>
  </si>
  <si>
    <t>MONITOR INPUTS AND SIGNALS</t>
  </si>
  <si>
    <t>RECOVERY RUNBOOK (ORDER MATTERS)</t>
  </si>
  <si>
    <t>Warehouse computation</t>
  </si>
  <si>
    <t>Output / evidence</t>
  </si>
  <si>
    <t>Owner / timing</t>
  </si>
  <si>
    <t>Threshold / handling</t>
  </si>
  <si>
    <t>If anomalous</t>
  </si>
  <si>
    <t>1. Contain</t>
  </si>
  <si>
    <t>Editing coverage</t>
  </si>
  <si>
    <t>Pause edit-dependent rules, status changes and outbound automation; leave independent signals live</t>
  </si>
  <si>
    <t>Distinct Workspaces with workflow_edited / recently active Workspaces, by day and motion where possible</t>
  </si>
  <si>
    <t>Paused trigger inventory; communication to CSx/lifecycle</t>
  </si>
  <si>
    <t>Raw edits can include background migrations</t>
  </si>
  <si>
    <t>RevOps + GTM Ops; immediately</t>
  </si>
  <si>
    <t>Compare to rolling same-weekday rate AND frozen last-known-good baseline. Keep 3–7-day drift; do not let an incident contaminate the reference.</t>
  </si>
  <si>
    <t>Prevent new wrong decisions without full outage</t>
  </si>
  <si>
    <t>Investigate source or release</t>
  </si>
  <si>
    <t>2. Snapshot</t>
  </si>
  <si>
    <t>Edit event volume</t>
  </si>
  <si>
    <t>Preserve raw events, current/historical risk scores, Dagster runs, Hightouch writes and HubSpot action history</t>
  </si>
  <si>
    <t>workflow_edited event count / active Workspace; dedupe event_id first</t>
  </si>
  <si>
    <t>Immutable baseline and audit log</t>
  </si>
  <si>
    <t>One background migration may emit many edits</t>
  </si>
  <si>
    <t>Data + RevOps</t>
  </si>
  <si>
    <t>Rate and coverage both tracked; retain immutable baseline during investigation.</t>
  </si>
  <si>
    <t>Needed for diff and rollback</t>
  </si>
  <si>
    <t>Check workflow IDs and burst shape</t>
  </si>
  <si>
    <t>3. Classify edits</t>
  </si>
  <si>
    <t>Independent usage</t>
  </si>
  <si>
    <t>Get deployment boundary/job IDs; match by event_id, workflow_id, workspace_id and actor/origin if present</t>
  </si>
  <si>
    <t>Successful workflow/AI execution rate (if instrumented); alternative independent engagement only if defensible</t>
  </si>
  <si>
    <t>Versioned event correction/exclusion table</t>
  </si>
  <si>
    <t>Edits should not be conflated with successful usage</t>
  </si>
  <si>
    <t>Engineering + data</t>
  </si>
  <si>
    <t>Do not delete raw history</t>
  </si>
  <si>
    <t>If execution data unavailable, mark edit-derived engagement UNKNOWN, but keep edit-rate and recovery anomaly checks active.</t>
  </si>
  <si>
    <t>4. Recompute</t>
  </si>
  <si>
    <t>Review suspect rates/recoveries; never auto-contact on unknown usage.</t>
  </si>
  <si>
    <t>Replay impacted daily partitions with pre-incident lookback AND post-incident tail until contaminated edits no longer affect rolling metrics or risk status.</t>
  </si>
  <si>
    <t>Decision drift</t>
  </si>
  <si>
    <t>Corrected daily Workspace status/reason, valid as-of dates, model version; post-incident carryover checked.</t>
  </si>
  <si>
    <t>% WATCH/AT RISK → RECOVERED plus suppressed tasks/lifecycle nudges</t>
  </si>
  <si>
    <t>Dagster + warehouse</t>
  </si>
  <si>
    <t>Semantics can change GTM actions even without global event spike</t>
  </si>
  <si>
    <t>Don't stop at the final migration date—false recency may persist within later windows.</t>
  </si>
  <si>
    <t>Check recovery transitions without independent supporting usage; include this even if executions are missing.</t>
  </si>
  <si>
    <t>5. Diff</t>
  </si>
  <si>
    <t>Review affected Workspaces</t>
  </si>
  <si>
    <t>Compare before/after daily WATCH/AT RISK/RECOVERED and action eligibility; identify accounts actually impacted</t>
  </si>
  <si>
    <t>Data health</t>
  </si>
  <si>
    <t>Affected Workspace IDs and exact days; confidence/unknown flags</t>
  </si>
  <si>
    <t>RevOps + CSx review</t>
  </si>
  <si>
    <t>Source age, missing/duplicate IDs, invalid workspace join</t>
  </si>
  <si>
    <t>SECTION 7 | SIGNAL DESK — TOOL DESIGN + TWO-WEEK MVP</t>
  </si>
  <si>
    <t>Don't assume every edit changed a score</t>
  </si>
  <si>
    <t>A green job does not validate event meaning</t>
  </si>
  <si>
    <t>Alert separately on stale data or unknown origin</t>
  </si>
  <si>
    <t>6. Reconcile actions</t>
  </si>
  <si>
    <t>Keep customer automation gated if untrusted</t>
  </si>
  <si>
    <t>Join corrected decisions to HubSpot properties, CSx tasks, sent or suppressed emails, Make/n8n logs</t>
  </si>
  <si>
    <t>Action repair ledger: missed / closed / unnecessary / no impact</t>
  </si>
  <si>
    <t>RevOps + Lifecycle</t>
  </si>
  <si>
    <t>Restore business decisions as well as data</t>
  </si>
  <si>
    <t>Original task</t>
  </si>
  <si>
    <t>WHY IT WOULD HAVE CAUGHT THIS</t>
  </si>
  <si>
    <t>7. Repair selectively</t>
  </si>
  <si>
    <t>Design the actual reviewer tool: main screen/wireframe, users, data &amp; actions, frontend/backend, AI boundaries, two-week solo version and kill criteria after three months.</t>
  </si>
  <si>
    <t>After a current live check, restore legitimate tasks or approve outreach; handle material wrong sends with owner</t>
  </si>
  <si>
    <t>Pattern</t>
  </si>
  <si>
    <t>End state: a thin internal React/Next.js queue + evidence screen. First slice: HubSpot saved views and reviewer fields; warehouse still scores, HubSpot still owns operational actions.</t>
  </si>
  <si>
    <t>Expected from incident</t>
  </si>
  <si>
    <t>Independent cross-check</t>
  </si>
  <si>
    <t>Result</t>
  </si>
  <si>
    <t>Limit</t>
  </si>
  <si>
    <t>Sudden migration</t>
  </si>
  <si>
    <t>More workspaces show edits shortly after channel updates</t>
  </si>
  <si>
    <t>Check verified executions when available; otherwise inspect unusual edits + unsupported recoveries without asserting actual usage.</t>
  </si>
  <si>
    <t>END STATE — REVIEW CONSOLE</t>
  </si>
  <si>
    <t>Potential next-day Slack investigation</t>
  </si>
  <si>
    <t>Needs enough affected workspaces to trigger</t>
  </si>
  <si>
    <t>Approved current-state fixes, no duplicates</t>
  </si>
  <si>
    <t>Assigned CSx or lifecycle owner</t>
  </si>
  <si>
    <t>UI area</t>
  </si>
  <si>
    <t>Gradual three-week migration</t>
  </si>
  <si>
    <t>Old actions may no longer make sense</t>
  </si>
  <si>
    <t>Edited-workspace coverage and recovered transitions drift over several days</t>
  </si>
  <si>
    <t>8. QA and resume</t>
  </si>
  <si>
    <t>What is visible / actionable</t>
  </si>
  <si>
    <t>Rolling trend versus frozen last-known-good reference; unsupported RECOVERED changes</t>
  </si>
  <si>
    <t>Reconcile rows and effects; sign off; enable modified triggers gradually</t>
  </si>
  <si>
    <t>Primary user</t>
  </si>
  <si>
    <t>Potential warning within first week of material drift</t>
  </si>
  <si>
    <t>Validation, monitored restart and rollback plan</t>
  </si>
  <si>
    <t>Not a guaranteed detection day</t>
  </si>
  <si>
    <t>Data source</t>
  </si>
  <si>
    <t>Data + GTM owners</t>
  </si>
  <si>
    <t>Protection</t>
  </si>
  <si>
    <t>Fully implemented Section 4 risk</t>
  </si>
  <si>
    <t>Prove corrected semantics and outcomes</t>
  </si>
  <si>
    <t>Prioritized Workspace queue</t>
  </si>
  <si>
    <t>Successful-execution based risk should not change just due to edits</t>
  </si>
  <si>
    <t>Only evidence-backed AT RISK and WATCH Workspaces in Needs review; distinct Data quality and Recovered views.</t>
  </si>
  <si>
    <t>Check risk transitions actually supported by successful use</t>
  </si>
  <si>
    <t>CSx; Lifecycle; RevOps</t>
  </si>
  <si>
    <t>Anomaly monitor catches stale dashboards or proxy paths</t>
  </si>
  <si>
    <t>HubSpot Workspace + warehouse score</t>
  </si>
  <si>
    <t>Never assume every migrated Workspace misclassified</t>
  </si>
  <si>
    <t>Never put UNKNOWN or RECOVERED in the reviewable customer-action queue.</t>
  </si>
  <si>
    <t>CUSTOMER-ACTION REPAIR LEDGER</t>
  </si>
  <si>
    <t>Evidence panel</t>
  </si>
  <si>
    <t>Risk reasons; last successful depth run; messaging change; model version; last as-of and data freshness; drill-down IDs</t>
  </si>
  <si>
    <t>CSx; Lifecycle</t>
  </si>
  <si>
    <t>workspace_risk_daily model via HubSpot; Metabase drill-down</t>
  </si>
  <si>
    <t>Finding</t>
  </si>
  <si>
    <t>No edits masquerading as confirmed usage</t>
  </si>
  <si>
    <t>ONE-WEEK SOLO BUILD</t>
  </si>
  <si>
    <t>Review / correction controls</t>
  </si>
  <si>
    <t>What happened</t>
  </si>
  <si>
    <t>CONFIRM / FALSE POSITIVE with required reason / SNOOZE with reason + expiry / DATA ISSUE route to QA.</t>
  </si>
  <si>
    <t>Current-state repair</t>
  </si>
  <si>
    <t>Day</t>
  </si>
  <si>
    <t>HubSpot review properties + timeline notes</t>
  </si>
  <si>
    <t>Eligibility / safety check</t>
  </si>
  <si>
    <t>Audit trail</t>
  </si>
  <si>
    <t>Require correction reason and snooze expiry; review metadata distinct from computed risk.</t>
  </si>
  <si>
    <t>Existing tools</t>
  </si>
  <si>
    <t>Approved action controls</t>
  </si>
  <si>
    <t>Acceptance check</t>
  </si>
  <si>
    <t>Missed help</t>
  </si>
  <si>
    <t>Approved CSx task or SSF nudge only after current-state checks and unique-action-key claim.</t>
  </si>
  <si>
    <t>Deferred</t>
  </si>
  <si>
    <t>Risk falsely cleared; CSx task or SSF step never created</t>
  </si>
  <si>
    <t>HubSpot/Make/n8n</t>
  </si>
  <si>
    <t>Days 1–2</t>
  </si>
  <si>
    <t>Pilot: supervised serialized dispatch; production: transaction-backed uniqueness.</t>
  </si>
  <si>
    <t>Re-evaluate TODAY and, if still eligible, create one approved follow-up</t>
  </si>
  <si>
    <t>Decision &amp; outcomes history</t>
  </si>
  <si>
    <t>Inventory all edit-derived decisions; choose active-Workspace denominator, rolling baseline and stored last-known-good baseline.</t>
  </si>
  <si>
    <t>Still paid, at risk, correct owner, not opted out</t>
  </si>
  <si>
    <t>Warehouse + HubSpot query</t>
  </si>
  <si>
    <t>Previous reviews, task/message IDs, recoveries and missing actions; compare cohorts</t>
  </si>
  <si>
    <t>Missed intervention window + recovery action</t>
  </si>
  <si>
    <t>GTM lead; RevOps</t>
  </si>
  <si>
    <t>Identify the downstream Hightouch fields that can be safely gated without stopping other account-health fields.</t>
  </si>
  <si>
    <t>HubSpot timeline + warehouse model + reporting</t>
  </si>
  <si>
    <t>Task wrongly closed/snoozed</t>
  </si>
  <si>
    <t>Outcome data not used to rewrite historical scores silently</t>
  </si>
  <si>
    <t>New event schema platform</t>
  </si>
  <si>
    <t>System edit looked like recovered usage</t>
  </si>
  <si>
    <t>Reopen or replace only when still relevant and owner approves</t>
  </si>
  <si>
    <t>Day 3</t>
  </si>
  <si>
    <t>DATA CONTRACT / FLOW</t>
  </si>
  <si>
    <t>No existing active task; check new activity</t>
  </si>
  <si>
    <t>Create versioned SQL checks and Dagster pre-flight dependency before edit-dependent Hightouch sync; record missing-execution fallback.</t>
  </si>
  <si>
    <t>Original task ID and reason</t>
  </si>
  <si>
    <t>Object / system</t>
  </si>
  <si>
    <t>Reads and computations</t>
  </si>
  <si>
    <t>Unnecessary message sent</t>
  </si>
  <si>
    <t>Direction / freshness</t>
  </si>
  <si>
    <t>Monitor edited-workspace rates and unsupported RECOVERED transitions even when execution telemetry = UNKNOWN.</t>
  </si>
  <si>
    <t>Authority</t>
  </si>
  <si>
    <t>Unexpected outreach from a bad status or a downstream misuse of edits</t>
  </si>
  <si>
    <t>ML model, real-time anomaly detection</t>
  </si>
  <si>
    <t>Join or action contract</t>
  </si>
  <si>
    <t>Can't unsend; owner reviews whether an explanation is warranted</t>
  </si>
  <si>
    <t>Product event warehouse</t>
  </si>
  <si>
    <t>Day 4</t>
  </si>
  <si>
    <t>No automated apology; consider impact</t>
  </si>
  <si>
    <t>Customer activity, successful workflow/AI execution, messaging trend, data quality</t>
  </si>
  <si>
    <t>Dry-run a gradual 3-week event drift, frozen-baseline protection and missing-execution scenario.</t>
  </si>
  <si>
    <t>Campaign, recipient, time, reviewer</t>
  </si>
  <si>
    <t>Product events → warehouse; existing feed</t>
  </si>
  <si>
    <t>Dagster + SQL / Metabase</t>
  </si>
  <si>
    <t>Product backend / warehouse</t>
  </si>
  <si>
    <t>No change</t>
  </si>
  <si>
    <t>workspace_id + event_id; no interpreting workflow edit as a run</t>
  </si>
  <si>
    <t>A credible anomaly holds only the affected edit-based sync/output; no false customer contact.</t>
  </si>
  <si>
    <t>Migration event had no impact on execution-based model or action</t>
  </si>
  <si>
    <t>Bulk historical re-ingestion</t>
  </si>
  <si>
    <t>workspace_risk_daily</t>
  </si>
  <si>
    <t>Leave Workspace untouched; record as unaffected</t>
  </si>
  <si>
    <t>Daily workspace status, reason_code, as_of, model_version, confidence, source timestamps</t>
  </si>
  <si>
    <t>No action</t>
  </si>
  <si>
    <t>Dagster daily after QA → Hightouch incremental</t>
  </si>
  <si>
    <t>Day 5</t>
  </si>
  <si>
    <t>Control cohort for comparison</t>
  </si>
  <si>
    <t>Enable one deduplicated Slack alert and narrow pre-Hightouch hold; require owner review and explicit release.</t>
  </si>
  <si>
    <t>One workspace/day; UNKNOWN with missing execution telemetry</t>
  </si>
  <si>
    <t>Dagster + Slack</t>
  </si>
  <si>
    <t>HubSpot Workspace</t>
  </si>
  <si>
    <t>Named owner sees both baselines, sample IDs and affected status transitions before Hightouch resumes.</t>
  </si>
  <si>
    <t>Risk properties, current owner, review_status / reason / until, tasks and notes</t>
  </si>
  <si>
    <t>Auto-changing account health</t>
  </si>
  <si>
    <t>Hightouch → HubSpot; reviewer changes in HubSpot</t>
  </si>
  <si>
    <t>CRM ownership / operational state</t>
  </si>
  <si>
    <t>Reviewer feedback distinct from computed score</t>
  </si>
  <si>
    <t>TARGETED REPLAY — NO FULL AIRBYTE RESYNC</t>
  </si>
  <si>
    <t>Chargebee &amp; consent</t>
  </si>
  <si>
    <t>Paid/active, cancel/downgrade and contact preferences (plus prior outreach)</t>
  </si>
  <si>
    <t>Live recheck before any action</t>
  </si>
  <si>
    <t>Chargebee billing; HubSpot opt-out</t>
  </si>
  <si>
    <t>Never act only on yesterday's cached eligibility</t>
  </si>
  <si>
    <t>Make / n8n + HubSpot</t>
  </si>
  <si>
    <t>Item</t>
  </si>
  <si>
    <t>Create task, approved nudge, log idempotency/outcome</t>
  </si>
  <si>
    <t>Triggered on approved command, not every event</t>
  </si>
  <si>
    <t>Days / mechanism</t>
  </si>
  <si>
    <t>HubSpot activity record</t>
  </si>
  <si>
    <t>Description</t>
  </si>
  <si>
    <t>workspace_id + reason_code + action_type + cooldown window</t>
  </si>
  <si>
    <t>Feedback → warehouse</t>
  </si>
  <si>
    <t>Reviewer decision, action result, suppressed send, recovery and false-positive trend</t>
  </si>
  <si>
    <t>Affected incident window (days)</t>
  </si>
  <si>
    <t>Existing HubSpot → Airbyte incremental → warehouse</t>
  </si>
  <si>
    <t>HYPOTHETICAL THRESHOLD CHECK — EXAMPLE ONLY</t>
  </si>
  <si>
    <t>Review/audit records</t>
  </si>
  <si>
    <t>Three weeks of automatic migrations in the scenario</t>
  </si>
  <si>
    <t>Versioned corrections; no deleting history</t>
  </si>
  <si>
    <t>Input / metric</t>
  </si>
  <si>
    <t>WHAT BUTTONS REALLY DO</t>
  </si>
  <si>
    <t>Interpretation</t>
  </si>
  <si>
    <t>Evidence status</t>
  </si>
  <si>
    <t>Reviewer command</t>
  </si>
  <si>
    <t>Stored decision or API call</t>
  </si>
  <si>
    <t>Downstream effect</t>
  </si>
  <si>
    <t>Check before writing</t>
  </si>
  <si>
    <t>Audit evidence</t>
  </si>
  <si>
    <t>Example rolling lookback (days)</t>
  </si>
  <si>
    <t>Proposed alert ratio</t>
  </si>
  <si>
    <t>Confirm risk</t>
  </si>
  <si>
    <t>Section 4 proposed comparison period; include metric-specific history</t>
  </si>
  <si>
    <t>Store CONFIRMED with reviewer/time; display proposed action but no implicit send.</t>
  </si>
  <si>
    <t>Daily edited-workspace rate / same-weekday rate</t>
  </si>
  <si>
    <t>Design</t>
  </si>
  <si>
    <t>Show approved next step; does not blindly send</t>
  </si>
  <si>
    <t>Test threshold, not an actual benchmark</t>
  </si>
  <si>
    <t>Valid source, current eligibility</t>
  </si>
  <si>
    <t>Minimum illustrative raw scan window (days)</t>
  </si>
  <si>
    <t>Minimum daily active workspaces</t>
  </si>
  <si>
    <t>Small denominators get 'insufficient data' rather than a strong alert</t>
  </si>
  <si>
    <t>Test threshold</t>
  </si>
  <si>
    <t>Previous/new review state and model version</t>
  </si>
  <si>
    <t>Baseline active workspaces</t>
  </si>
  <si>
    <t>False positive</t>
  </si>
  <si>
    <t>Store FALSE_POSITIVE with mandatory explicit reason (e.g. wrong Company link, missing executions, system edit).</t>
  </si>
  <si>
    <t>Suppress disputed actions, queue for RevOps quality review</t>
  </si>
  <si>
    <t>Do not overwrite warehouse risk status</t>
  </si>
  <si>
    <t>Reviewer, time, proof link, reason code</t>
  </si>
  <si>
    <t>Snooze</t>
  </si>
  <si>
    <t>SNOOZED only with reviewer, reason, expiry date and reminder when snooze expires.</t>
  </si>
  <si>
    <t>Pause only that Workspace's allowed action</t>
  </si>
  <si>
    <t>Bounded TTL and explicit owner</t>
  </si>
  <si>
    <t>Expiry, prior state and reason</t>
  </si>
  <si>
    <t>Data issue / UNKNOWN</t>
  </si>
  <si>
    <t>DATA_ISSUE creates a separate QA case and suppresses the edit-dependent customer action.</t>
  </si>
  <si>
    <t>Create QA case; no customer-facing action</t>
  </si>
  <si>
    <t>Confirm source freshness and workspace associations</t>
  </si>
  <si>
    <t>Case ID and resolution</t>
  </si>
  <si>
    <t>Create CSx task</t>
  </si>
  <si>
    <t>Pilot: one supervised serialized Make/n8n dispatch; check open HubSpot tasks and record action key + remote task ID. Production: atomic ledger claim with UNIQUE(action_key).</t>
  </si>
  <si>
    <t>Lookback before incident + incident span; may need earlier valid-event history</t>
  </si>
  <si>
    <t>Hypothetical active Workspaces used for last-known-good baseline; freeze during incident.</t>
  </si>
  <si>
    <t>Assigned Sales-led CSx gets only one valid task; retries reconcile pending IDs, not blind upserts.</t>
  </si>
  <si>
    <t>Live owner/status/consent and persisted action key; task lookups alone are not concurrency safe.</t>
  </si>
  <si>
    <t>action_key = workspace_id + reason_code + action_type + cooldown_window; remote task ID + dispatch state.</t>
  </si>
  <si>
    <t>Approve SSF nudge</t>
  </si>
  <si>
    <t>Important boundary</t>
  </si>
  <si>
    <t>Supervised, human-approved SSF template; serialized pilot dispatch only where safe; full automation waits for atomic unique-key ledger.</t>
  </si>
  <si>
    <t>Baseline Workspaces edited</t>
  </si>
  <si>
    <t>One reviewed onboarding message</t>
  </si>
  <si>
    <t>Live active paid status, opt-out, prior send, freshness, risk confidence, and deduped action claim.</t>
  </si>
  <si>
    <t>35 days (21 incident + 14 prior) is a minimum illustrative base, NOT the full replay period. Add the post-incident tail until no affected signal remains; extend further for last-valid-activity or billing dependencies.</t>
  </si>
  <si>
    <t>Record action key, approval, recipient, campaign ID, dispatch status; never blindly retry send.</t>
  </si>
  <si>
    <t>Hypothetical edited Workspaces during last-known-good baseline; freeze during incident.</t>
  </si>
  <si>
    <t>Correct/undo past review</t>
  </si>
  <si>
    <t>Append corrective decision; restore eligible task when justified</t>
  </si>
  <si>
    <t>Warehouse learns from correction after incremental sync</t>
  </si>
  <si>
    <t>Existing warehouse raw data</t>
  </si>
  <si>
    <t>Current state, cannot unsend messages</t>
  </si>
  <si>
    <t>Today's active workspaces</t>
  </si>
  <si>
    <t>Links to earlier and new decision</t>
  </si>
  <si>
    <t>Keep warehouse raw events immutable; use a correction map and rerun only affected Dagster/warehouse partitions in an isolated dry replay with Hightouch and all customer-facing automations OFF.</t>
  </si>
  <si>
    <t>Toy example</t>
  </si>
  <si>
    <t>TECHNOLOGY + AI BOUNDARIES</t>
  </si>
  <si>
    <t>Historical recomputation has no customer-facing side effects; no Airbyte charge for existing raw events.</t>
  </si>
  <si>
    <t>Today's Workspaces edited</t>
  </si>
  <si>
    <t>Layer</t>
  </si>
  <si>
    <t>If raw evidence is missing</t>
  </si>
  <si>
    <t>End state choice</t>
  </si>
  <si>
    <t>Request source-specific export or bounded incremental Airbyte backfill (validated cursor), not expensive full resync.</t>
  </si>
  <si>
    <t>Why this at ~100-person company</t>
  </si>
  <si>
    <t>Only the missing source/date/workspaces</t>
  </si>
  <si>
    <t>What is deliberately excluded</t>
  </si>
  <si>
    <t>Baseline edit rate</t>
  </si>
  <si>
    <t>Security/ownership</t>
  </si>
  <si>
    <t>Frontend</t>
  </si>
  <si>
    <t>Next.js/React internal reviewer queue + evidence panel</t>
  </si>
  <si>
    <t>Reverse ETL repair</t>
  </si>
  <si>
    <t>TypeScript shared code, straightforward split queue/detail UI</t>
  </si>
  <si>
    <t>No full replacement CRM or second scoring tool</t>
  </si>
  <si>
    <t>Company SSO, scoped role access</t>
  </si>
  <si>
    <t>After corrected historical results are validated, use Hightouch to sync only CURRENT, approved Workspace status/reason/evidence. Repair historical misses manually and selectively with eligibility + idempotency checks.</t>
  </si>
  <si>
    <t>Backend</t>
  </si>
  <si>
    <t>Never stream past state transitions into HubSpot/Make/n8n and accidentally trigger emails or tasks.</t>
  </si>
  <si>
    <t>Thin Next.js/TypeScript endpoints validate access and action key; durable Postgres ledger with UNIQUE(action_key) only for concurrent/production dispatch.</t>
  </si>
  <si>
    <t>Atomic INSERT ... ON CONFLICT DO NOTHING establishes one owner to dispatch; retry pending requests by reconciling remote IDs.</t>
  </si>
  <si>
    <t>No second CRM or scoring database; no fake exactly-once guarantee from HubSpot lookups.</t>
  </si>
  <si>
    <t>Server-side permissions, API tokens, audit of claimed/sent/failed and external IDs.</t>
  </si>
  <si>
    <t>Primary state</t>
  </si>
  <si>
    <t>MVP: existing HubSpot review fields and history; later add tiny uniquely constrained action ledger if dispatch concurrency warrants it.</t>
  </si>
  <si>
    <t>Reuse tools already deployed; feedback round trip via Airbyte</t>
  </si>
  <si>
    <t>RECOVERY SIGN-OFF</t>
  </si>
  <si>
    <t>No new custom CRM object or DB in the supervised two-week pilot.</t>
  </si>
  <si>
    <t>Stable Workspace ID / source authority</t>
  </si>
  <si>
    <t>AI — allowed</t>
  </si>
  <si>
    <t>Optional concise evidence summary or playbook finder, derived from approved aggregates</t>
  </si>
  <si>
    <t>Faster reviewer orientation and consistent notes</t>
  </si>
  <si>
    <t>Data integrity</t>
  </si>
  <si>
    <t>Never invent events or make an automated send decision</t>
  </si>
  <si>
    <t>Source citations, explicit human review, no raw message bodies</t>
  </si>
  <si>
    <t>AI — forbidden</t>
  </si>
  <si>
    <t>Source/event IDs, corrected historic AND post-incident scores, UNKNOWN separation, Dagster model version and zero historical replay side-effects reconcile.</t>
  </si>
  <si>
    <t>No risk rating, arbitrary account merge, email generation/send without approval, consent bypass</t>
  </si>
  <si>
    <t>Deterministic rules and people own material decisions</t>
  </si>
  <si>
    <t>No autonomous LLM actions</t>
  </si>
  <si>
    <t>Audit prompt inputs and output only if enabled</t>
  </si>
  <si>
    <t>Operational impact</t>
  </si>
  <si>
    <t>No duplicate tasks/messages; missed/wrong actions classified; live billing/opt-out validated before current-only resync.</t>
  </si>
  <si>
    <t>TWO-WEEK FIRST SLICE — ONE ENGINEER</t>
  </si>
  <si>
    <t>CSx/Lifecycle approve material customer repairs; Data/RevOps approve model and guarded restart.</t>
  </si>
  <si>
    <t>Workspaces with edits / active workspaces</t>
  </si>
  <si>
    <t>Acceptance gate</t>
  </si>
  <si>
    <t>Week 1 (days 1–2)</t>
  </si>
  <si>
    <t>What I still need</t>
  </si>
  <si>
    <t>Confirm section 4 Workspace flags / association IDs / evidence and test user ownership</t>
  </si>
  <si>
    <t>HubSpot saved review queue with status, reason, confidence, scored_at</t>
  </si>
  <si>
    <t>Engineering migration/job metadata and actual action logs to know which accounts and messages were affected; none are supplied in the challenge.</t>
  </si>
  <si>
    <t>Valid IDs; UNKNOWN separate; source link works</t>
  </si>
  <si>
    <t>Current edit rate</t>
  </si>
  <si>
    <t>Next.js app, multi-company browser</t>
  </si>
  <si>
    <t>Week 1 (days 3–5)</t>
  </si>
  <si>
    <t>Add reviewer_state, reason, reviewer, review_time, snooze_until separate from computed score</t>
  </si>
  <si>
    <t>1-Workspace reviewer workflow and manual QA loop</t>
  </si>
  <si>
    <t>False positive doesn't overwrite warehouse model; versioned review saved</t>
  </si>
  <si>
    <t>Custom database, complex permissions interface</t>
  </si>
  <si>
    <t>Week 2 (days 6–8)</t>
  </si>
  <si>
    <t>Build a guarded serialized Make/n8n review dispatch; perform live eligibility checks, pre-send duplicate lookup and log key + remote ID. No unattended bulk sends until atomic action ledger exists.</t>
  </si>
  <si>
    <t>Small supervised task-first pilot; optional human-approved SSF nudge only if safely controlled.</t>
  </si>
  <si>
    <t>Test rapid double clicks, separate reviewers, retries, cancellation, opt-out and an interrupted/pending dispatch.</t>
  </si>
  <si>
    <t>Production concurrent/idempotent sender and AI automation deferred.</t>
  </si>
  <si>
    <t>Week 2 (days 9–10)</t>
  </si>
  <si>
    <t>Incremental feedback to warehouse; simple Metabase outcomes view; two-person GTM review</t>
  </si>
  <si>
    <t>Closed-loop pilot and sign-off</t>
  </si>
  <si>
    <t>Pilot reviewers can explain case, action, feedback and rollback</t>
  </si>
  <si>
    <t>Mobile app, real-time streaming, group automation</t>
  </si>
  <si>
    <t>AFTER 3 MONTHS — KEEP / KILL DECISION</t>
  </si>
  <si>
    <t>Keep if... (proposed gate)</t>
  </si>
  <si>
    <t>Kill or fold back into HubSpot if...</t>
  </si>
  <si>
    <t>How to measure</t>
  </si>
  <si>
    <t>Reviewer habit</t>
  </si>
  <si>
    <t>PROPOSED day-90 gate: ≥70% of eligible AT RISK/WATCH cases receive a documented review within two business days.</t>
  </si>
  <si>
    <t>If below gate after triage/remediation, do not expand separate UI; prioritize workflow fixes or use HubSpot only.</t>
  </si>
  <si>
    <t>Reviewed eligible cases within 2 business days / all eligible cases; report separately by SSF vs Sales-led.</t>
  </si>
  <si>
    <t>Edit-rate multiplier</t>
  </si>
  <si>
    <t>Threshold to calibrate with CSx/Lifecycle; not a given Superchat SLA.</t>
  </si>
  <si>
    <t>Time saved</t>
  </si>
  <si>
    <t>PROPOSED day-90 gate: ≥20% reduction in median time from case opening to reviewer decision vs matched HubSpot-only baseline.</t>
  </si>
  <si>
    <t>If review takes the same or longer / adds double entry, keep HubSpot and cancel standalone UI.</t>
  </si>
  <si>
    <t>Median minutes per documented review in pilot versus comparable HubSpot-only cases.</t>
  </si>
  <si>
    <t>Control case mix and onboarding stage, not raw click count.</t>
  </si>
  <si>
    <t>Trust / action quality</t>
  </si>
  <si>
    <t>SAFETY gate: no increase in duplicate or inappropriate outreach / opt-outs; any material unapproved send halts dispatch.</t>
  </si>
  <si>
    <t>Regression in safety or recurring untrusted automation blocks rollout regardless of time saved.</t>
  </si>
  <si>
    <t>Deduped sends per action key, reviewer QA sample, opt-out rates, incident ledger.</t>
  </si>
  <si>
    <t>Small samples: use qualitative incident review as well as rates.</t>
  </si>
  <si>
    <t>Business impact</t>
  </si>
  <si>
    <t>Outcome signal: at least one reviewer correction leads to a documented data/rule/playbook improvement; 90-day SSF adoption measured only with mature holdout cohorts.</t>
  </si>
  <si>
    <t>No evidence of useful closed-loop corrections or better intervention quality: fold back to HubSpot.</t>
  </si>
  <si>
    <t>Review log → RevOps correction → changed QA/rules; later mature SSF cohort holdout comparison.</t>
  </si>
  <si>
    <t>Case 41% baseline, proposed ~46% pilot target remain hypotheses, not immediate proof.</t>
  </si>
  <si>
    <t>At day 90: keep standalone UI only if 70%/2-business-day and 20% faster gates plus safety guardrails hold; otherwise improve/retain minimal HubSpot workflow.</t>
  </si>
  <si>
    <t>Retire dedicated UI if native HubSpot works just as well</t>
  </si>
  <si>
    <t>RevOps/CSx/Lifecycle decision review at day 90</t>
  </si>
  <si>
    <t>Focus on outcomes, not sunk cost</t>
  </si>
  <si>
    <t>Sketch deliverable</t>
  </si>
  <si>
    <t>Revised wireframe embedded in Google Doc and exported as PNG + editable SVG. Needs review excludes UNKNOWN and RECOVERED; separate QA/history views plus required reviewer reason/expiry fields.</t>
  </si>
  <si>
    <t>Normalised change, not absolute raw event count</t>
  </si>
  <si>
    <t>Baseline confirmed execution rate</t>
  </si>
  <si>
    <t>Toy example only: independently successful execution coverage</t>
  </si>
  <si>
    <t>Current confirmed execution rate</t>
  </si>
  <si>
    <t>Toy example only: no parallel lift in verified product use</t>
  </si>
  <si>
    <t>Independent-use rate change</t>
  </si>
  <si>
    <t>SECTION 9 | CANDID FEEDBACK — NOT GRADED</t>
  </si>
  <si>
    <t>Use</t>
  </si>
  <si>
    <t>Copy as-is after personalising the actual hours. These are suggested first-person responses; opinions about toughest/quickest/most interesting can be adjusted.</t>
  </si>
  <si>
    <t>Current minus baseline; flat in this scenario</t>
  </si>
  <si>
    <t>Candidate alert result</t>
  </si>
  <si>
    <t>Suggested answer</t>
  </si>
  <si>
    <t>Before sending</t>
  </si>
  <si>
    <t>1. Total time</t>
  </si>
  <si>
    <t>I spent approximately [ADD YOUR ACTUAL TOTAL] hours across several sessions. A good amount of that time went into validating the assumptions, building the architecture and tool sketches, and making sure the answers connected—not just writing them.</t>
  </si>
  <si>
    <t>Replace placeholder with your honest ballpark; don't invent it.</t>
  </si>
  <si>
    <t>2. Longest / quickest</t>
  </si>
  <si>
    <t>Section 4 was probably the most time-consuming because the end-to-end design needed clear tool boundaries, timings and a realistic MVP. Section 7 also took time for the actual wireframe. Section 3 was the quickest once the funnel and account patterns were clear.</t>
  </si>
  <si>
    <t>Check this matches your personal experience.</t>
  </si>
  <si>
    <t>3. Missing / unclear</t>
  </si>
  <si>
    <t>Most ambiguity felt intentional, which is realistic. The major gaps were whether workflow edits indicated successful use, verified Workspace-to-Company/payer links, and which risk/action tracking already exists. I stated assumptions rather than treating missing events as proof. A current reporting/CRM workflow example would have helped.</t>
  </si>
  <si>
    <t>Specific to the supplied case; no invented facts.</t>
  </si>
  <si>
    <t>4. Most / least interesting</t>
  </si>
  <si>
    <t>Section 6 was most interesting: green syncs can still produce wrong customer decisions when event meaning changes. Some repetition in adoption/risk signal discussion across Sections 2 and 4 felt least useful, even though the progression makes sense.</t>
  </si>
  <si>
    <t>Change if your preference differs.</t>
  </si>
  <si>
    <t>5. Other comments</t>
  </si>
  <si>
    <t>I liked the focus on judgment and practical trade-offs rather than a perfect textbook design. The real stack and messy account associations felt close to the job. Written analysis, architecture diagram, UI wireframe and video make this a substantial take-home; clearer expected time or slightly narrower scope would help calibrate depth.</t>
  </si>
  <si>
    <t>Candid and constructive; the video is required.</t>
  </si>
  <si>
    <t>PERSONAL CHECK BEFORE SUBMISSION</t>
  </si>
  <si>
    <t>Time</t>
  </si>
  <si>
    <t>Replace [ADD YOUR ACTUAL TOTAL] in the Google Doc and this Sheet before submitting.</t>
  </si>
  <si>
    <t>Video</t>
  </si>
  <si>
    <t>Section 8 requires a separate 1–3-minute video walkthrough; Section 9 writing does not substitute for it.</t>
  </si>
  <si>
    <t>INVESTIGATE = alert for human review, not a CRM health change. If execution data is missing, allow investigation based on unusual rate; engagement itself is UNKNOWN.</t>
  </si>
  <si>
    <t>Simulated</t>
  </si>
  <si>
    <t>Suspicious recovery transitions are audited separately. Do not auto-outreach.</t>
  </si>
  <si>
    <t>OWNER RESPONSE AND GUARDRAILS</t>
  </si>
  <si>
    <t>What owner does</t>
  </si>
  <si>
    <t>What stays running</t>
  </si>
  <si>
    <t>What to pause if confirmed</t>
  </si>
  <si>
    <t>Success check</t>
  </si>
  <si>
    <t>Daily anomaly</t>
  </si>
  <si>
    <t>RevOps checks release and actor/origin, inspects unsupported recovered transitions and reviews the pre-sync hold.</t>
  </si>
  <si>
    <t>Verified successful-run risk, billing, unrelated messages</t>
  </si>
  <si>
    <t>Gate edit-derived Hightouch fields/actions only; unaffected CRM fields, product and billing signals still sync.</t>
  </si>
  <si>
    <t>Review within one workday of alert</t>
  </si>
  <si>
    <t>Event origin unavailable</t>
  </si>
  <si>
    <t>With execution telemetry missing, alert on edit-rate drift or unsupported RECOVERED changes, but set edit-derived engagement UNKNOWN.</t>
  </si>
  <si>
    <t>Reliable independent signals</t>
  </si>
  <si>
    <t>No automated outreach based only on edit data; hold only unsafe edit-dependent Hightouch fields.</t>
  </si>
  <si>
    <t>Avoid guessing that an edit was human</t>
  </si>
  <si>
    <t>Weekly review</t>
  </si>
  <si>
    <t>Review false positives, alert lead-time, frozen versus rolling baseline and whether legitimate syncs were unnecessarily held.</t>
  </si>
  <si>
    <t>Existing source syncs</t>
  </si>
  <si>
    <t>Do not globally halt CRM</t>
  </si>
  <si>
    <t>Tune thresholds and denominator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</si>
</sst>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0.00&quot;×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E0EAF2"/>
        <bgColor rgb="FFE0EAF2"/>
      </patternFill>
    </fill>
    <fill>
      <patternFill patternType="solid">
        <fgColor rgb="FFE2F2EA"/>
        <bgColor rgb="FFE2F2EA"/>
      </patternFill>
    </fill>
    <fill>
      <patternFill patternType="solid">
        <fgColor rgb="FFE5EDF2"/>
        <bgColor rgb="FFE5EDF2"/>
      </patternFill>
    </fill>
    <fill>
      <patternFill patternType="solid">
        <fgColor rgb="FFE8F2EA"/>
        <bgColor rgb="FFE8F2EA"/>
      </patternFill>
    </fill>
    <fill>
      <patternFill patternType="solid">
        <fgColor rgb="FFEFF4F7"/>
        <bgColor rgb="FFEFF4F7"/>
      </patternFill>
    </fill>
    <fill>
      <patternFill patternType="solid">
        <fgColor rgb="FFE2EDF2"/>
        <bgColor rgb="FFE2EDF2"/>
      </patternFill>
    </fill>
    <fill>
      <patternFill patternType="solid">
        <fgColor rgb="FFE8F4ED"/>
        <bgColor rgb="FFE8F4ED"/>
      </patternFill>
    </fill>
    <fill>
      <patternFill patternType="solid">
        <fgColor rgb="FFE5EFF4"/>
        <bgColor rgb="FFE5EFF4"/>
      </patternFill>
    </fill>
    <fill>
      <patternFill patternType="solid">
        <fgColor rgb="FFEDF9F4"/>
        <bgColor rgb="FFEDF9F4"/>
      </patternFill>
    </fill>
    <fill>
      <patternFill patternType="solid">
        <fgColor rgb="FFEAF7EF"/>
        <bgColor rgb="FFEAF7EF"/>
      </patternFill>
    </fill>
    <fill>
      <patternFill patternType="solid">
        <fgColor rgb="FFDDEAF2"/>
        <bgColor rgb="FFDDEAF2"/>
      </patternFill>
    </fill>
    <fill>
      <patternFill patternType="solid">
        <fgColor rgb="FFE0EDF2"/>
        <bgColor rgb="FFE0EDF2"/>
      </patternFill>
    </fill>
    <fill>
      <patternFill patternType="solid">
        <fgColor rgb="FFEDF7F2"/>
        <bgColor rgb="FFEDF7F2"/>
      </patternFill>
    </fill>
    <fill>
      <patternFill patternType="solid">
        <fgColor rgb="FFFFFFFF"/>
        <bgColor rgb="FFFFFFFF"/>
      </patternFill>
    </fill>
    <fill>
      <patternFill patternType="solid">
        <fgColor rgb="FFEDF7EF"/>
        <bgColor rgb="FFEDF7EF"/>
      </patternFill>
    </fill>
    <fill>
      <patternFill patternType="solid">
        <fgColor rgb="FFDBE8EF"/>
        <bgColor rgb="FFDBE8EF"/>
      </patternFill>
    </fill>
    <fill>
      <patternFill patternType="solid">
        <fgColor rgb="FFDDEFEF"/>
        <bgColor rgb="FFDDEFEF"/>
      </patternFill>
    </fill>
    <fill>
      <patternFill patternType="solid">
        <fgColor rgb="FFEDF4F7"/>
        <bgColor rgb="FFEDF4F7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/>
    </xf>
    <xf borderId="0" fillId="3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3" fontId="2" numFmtId="164" xfId="0" applyAlignment="1" applyFill="1" applyFont="1" applyNumberFormat="1">
      <alignment horizontal="left" shrinkToFit="0" vertical="center" wrapText="1"/>
    </xf>
    <xf borderId="0" fillId="0" fontId="2" numFmtId="165" xfId="0" applyAlignment="1" applyFont="1" applyNumberFormat="1">
      <alignment horizontal="left" shrinkToFit="0" vertical="center" wrapText="1"/>
    </xf>
    <xf borderId="0" fillId="5" fontId="2" numFmtId="0" xfId="0" applyAlignment="1" applyFill="1" applyFont="1">
      <alignment horizontal="left" readingOrder="0" shrinkToFit="0" vertical="center" wrapText="1"/>
    </xf>
    <xf borderId="0" fillId="6" fontId="1" numFmtId="0" xfId="0" applyAlignment="1" applyFill="1" applyFont="1">
      <alignment horizontal="left" readingOrder="0" shrinkToFit="0" vertical="center" wrapText="1"/>
    </xf>
    <xf borderId="0" fillId="6" fontId="2" numFmtId="0" xfId="0" applyAlignment="1" applyFill="1" applyFont="1">
      <alignment horizontal="left" readingOrder="0" shrinkToFit="0" vertical="center" wrapText="1"/>
    </xf>
    <xf borderId="0" fillId="6" fontId="2" numFmtId="0" xfId="0" applyAlignment="1" applyFill="1" applyFont="1">
      <alignment horizontal="left" shrinkToFit="0" vertical="center" wrapText="1"/>
    </xf>
    <xf borderId="0" fillId="3" fontId="2" numFmtId="164" xfId="0" applyAlignment="1" applyFill="1" applyFont="1" applyNumberFormat="1">
      <alignment horizontal="left" readingOrder="0" shrinkToFit="0" vertical="center" wrapText="1"/>
    </xf>
    <xf borderId="0" fillId="6" fontId="2" numFmtId="164" xfId="0" applyAlignment="1" applyFill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shrinkToFit="0" vertical="center" wrapText="1"/>
    </xf>
    <xf borderId="0" fillId="7" fontId="1" numFmtId="0" xfId="0" applyAlignment="1" applyFill="1" applyFont="1">
      <alignment horizontal="left" readingOrder="0" shrinkToFit="0" vertical="center" wrapText="1"/>
    </xf>
    <xf borderId="0" fillId="8" fontId="2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shrinkToFit="0" vertical="center" wrapText="1"/>
    </xf>
    <xf borderId="0" fillId="0" fontId="2" numFmtId="3" xfId="0" applyAlignment="1" applyFont="1" applyNumberFormat="1">
      <alignment horizontal="left" shrinkToFit="0" vertical="center" wrapText="1"/>
    </xf>
    <xf borderId="0" fillId="7" fontId="1" numFmtId="0" xfId="0" applyAlignment="1" applyFill="1" applyFont="1">
      <alignment readingOrder="0" shrinkToFit="0" vertical="center" wrapText="1"/>
    </xf>
    <xf borderId="0" fillId="9" fontId="1" numFmtId="0" xfId="0" applyAlignment="1" applyFill="1" applyFont="1">
      <alignment horizontal="left" readingOrder="0" shrinkToFit="0" vertical="center" wrapText="1"/>
    </xf>
    <xf borderId="0" fillId="7" fontId="1" numFmtId="0" xfId="0" applyAlignment="1" applyFill="1" applyFont="1">
      <alignment shrinkToFit="0" vertical="center" wrapText="1"/>
    </xf>
    <xf quotePrefix="1" borderId="0" fillId="0" fontId="2" numFmtId="0" xfId="0" applyAlignment="1" applyFont="1">
      <alignment horizontal="left" readingOrder="0" shrinkToFit="0" vertical="center" wrapText="1"/>
    </xf>
    <xf borderId="0" fillId="7" fontId="1" numFmtId="0" xfId="0" applyAlignment="1" applyFill="1" applyFont="1">
      <alignment horizontal="left" shrinkToFit="0" vertical="center" wrapText="1"/>
    </xf>
    <xf quotePrefix="1" borderId="0" fillId="8" fontId="2" numFmtId="0" xfId="0" applyAlignment="1" applyFill="1" applyFont="1">
      <alignment horizontal="left" readingOrder="0" shrinkToFit="0" vertical="center" wrapText="1"/>
    </xf>
    <xf borderId="0" fillId="8" fontId="2" numFmtId="0" xfId="0" applyAlignment="1" applyFill="1" applyFont="1">
      <alignment horizontal="left"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9" fontId="1" numFmtId="0" xfId="0" applyAlignment="1" applyFill="1" applyFont="1">
      <alignment horizontal="left" shrinkToFit="0" vertical="center" wrapText="1"/>
    </xf>
    <xf borderId="0" fillId="10" fontId="2" numFmtId="0" xfId="0" applyAlignment="1" applyFill="1" applyFont="1">
      <alignment horizontal="left" readingOrder="0" shrinkToFit="0" vertical="center" wrapText="1"/>
    </xf>
    <xf borderId="0" fillId="10" fontId="2" numFmtId="164" xfId="0" applyAlignment="1" applyFill="1" applyFont="1" applyNumberFormat="1">
      <alignment horizontal="left" shrinkToFit="0" vertical="center" wrapText="1"/>
    </xf>
    <xf borderId="0" fillId="10" fontId="2" numFmtId="164" xfId="0" applyAlignment="1" applyFill="1" applyFont="1" applyNumberFormat="1">
      <alignment horizontal="left" readingOrder="0" shrinkToFit="0" vertical="center" wrapText="1"/>
    </xf>
    <xf borderId="0" fillId="10" fontId="2" numFmtId="165" xfId="0" applyAlignment="1" applyFill="1" applyFont="1" applyNumberFormat="1">
      <alignment horizontal="left" shrinkToFit="0" vertical="center" wrapText="1"/>
    </xf>
    <xf borderId="0" fillId="11" fontId="2" numFmtId="0" xfId="0" applyAlignment="1" applyFill="1" applyFont="1">
      <alignment horizontal="left" readingOrder="0" shrinkToFit="0" vertical="center" wrapText="1"/>
    </xf>
    <xf borderId="0" fillId="11" fontId="2" numFmtId="0" xfId="0" applyAlignment="1" applyFill="1" applyFont="1">
      <alignment horizontal="left" shrinkToFit="0" vertical="center" wrapText="1"/>
    </xf>
    <xf borderId="0" fillId="12" fontId="1" numFmtId="0" xfId="0" applyAlignment="1" applyFill="1" applyFont="1">
      <alignment horizontal="left" readingOrder="0" shrinkToFit="0" vertical="center" wrapText="1"/>
    </xf>
    <xf borderId="0" fillId="12" fontId="1" numFmtId="0" xfId="0" applyAlignment="1" applyFill="1" applyFont="1">
      <alignment horizontal="left" shrinkToFit="0" vertical="center" wrapText="1"/>
    </xf>
    <xf borderId="0" fillId="6" fontId="2" numFmtId="0" xfId="0" applyAlignment="1" applyFill="1" applyFont="1">
      <alignment horizontal="left" readingOrder="0" shrinkToFit="0" vertical="center" wrapText="1"/>
    </xf>
    <xf borderId="0" fillId="6" fontId="1" numFmtId="0" xfId="0" applyAlignment="1" applyFill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13" fontId="1" numFmtId="0" xfId="0" applyAlignment="1" applyFill="1" applyFont="1">
      <alignment readingOrder="0" shrinkToFit="0" vertical="center" wrapText="1"/>
    </xf>
    <xf borderId="0" fillId="6" fontId="1" numFmtId="0" xfId="0" applyAlignment="1" applyFill="1" applyFont="1">
      <alignment readingOrder="0" shrinkToFit="0" vertical="center" wrapText="1"/>
    </xf>
    <xf borderId="0" fillId="14" fontId="2" numFmtId="0" xfId="0" applyAlignment="1" applyFill="1" applyFont="1">
      <alignment readingOrder="0" shrinkToFit="0" vertical="center" wrapText="1"/>
    </xf>
    <xf borderId="0" fillId="15" fontId="2" numFmtId="0" xfId="0" applyAlignment="1" applyFill="1" applyFont="1">
      <alignment readingOrder="0" shrinkToFit="0" vertical="center" wrapText="1"/>
    </xf>
    <xf borderId="0" fillId="15" fontId="2" numFmtId="0" xfId="0" applyAlignment="1" applyFill="1" applyFont="1">
      <alignment horizontal="left" shrinkToFit="0" vertical="center" wrapText="1"/>
    </xf>
    <xf borderId="0" fillId="16" fontId="2" numFmtId="0" xfId="0" applyAlignment="1" applyFill="1" applyFont="1">
      <alignment horizontal="left" readingOrder="0" shrinkToFit="0" vertical="center" wrapText="1"/>
    </xf>
    <xf borderId="0" fillId="16" fontId="2" numFmtId="0" xfId="0" applyAlignment="1" applyFill="1" applyFont="1">
      <alignment horizontal="left" shrinkToFit="0" vertical="center" wrapText="1"/>
    </xf>
    <xf borderId="0" fillId="17" fontId="1" numFmtId="0" xfId="0" applyAlignment="1" applyFill="1" applyFont="1">
      <alignment readingOrder="0" shrinkToFit="0" vertical="center" wrapText="1"/>
    </xf>
    <xf borderId="0" fillId="18" fontId="1" numFmtId="0" xfId="0" applyAlignment="1" applyFill="1" applyFont="1">
      <alignment readingOrder="0" shrinkToFit="0" vertical="center" wrapText="1"/>
    </xf>
    <xf borderId="0" fillId="19" fontId="1" numFmtId="0" xfId="0" applyAlignment="1" applyFill="1" applyFont="1">
      <alignment readingOrder="0" shrinkToFit="0" vertical="center" wrapText="1"/>
    </xf>
    <xf borderId="0" fillId="6" fontId="1" numFmtId="0" xfId="0" applyAlignment="1" applyFill="1" applyFont="1">
      <alignment shrinkToFit="0" vertical="center" wrapText="1"/>
    </xf>
    <xf borderId="0" fillId="0" fontId="2" numFmtId="166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30.75"/>
    <col customWidth="1" min="3" max="3" width="17.0"/>
    <col customWidth="1" min="4" max="4" width="27.0"/>
  </cols>
  <sheetData>
    <row r="1" ht="26.25" customHeight="1">
      <c r="A1" s="1" t="s">
        <v>0</v>
      </c>
      <c r="B1" s="3" t="s">
        <v>3</v>
      </c>
      <c r="C1" s="3" t="s">
        <v>7</v>
      </c>
      <c r="D1" s="3" t="s">
        <v>10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23</v>
      </c>
      <c r="B2" s="9">
        <v>1620.0</v>
      </c>
      <c r="C2" s="10" t="s">
        <v>4</v>
      </c>
      <c r="D2" s="9" t="s">
        <v>26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 t="s">
        <v>25</v>
      </c>
      <c r="B3" s="9">
        <v>1164.0</v>
      </c>
      <c r="C3" s="10">
        <f>B3/B2</f>
        <v>0.7185185185</v>
      </c>
      <c r="D3" s="9" t="s">
        <v>38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 t="s">
        <v>41</v>
      </c>
      <c r="B4" s="9">
        <v>260.0</v>
      </c>
      <c r="C4" s="10" t="s">
        <v>4</v>
      </c>
      <c r="D4" s="9" t="s">
        <v>44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 t="s">
        <v>51</v>
      </c>
      <c r="B5" s="9">
        <v>960.0</v>
      </c>
      <c r="C5" s="10">
        <f>B5/B3</f>
        <v>0.824742268</v>
      </c>
      <c r="D5" s="9" t="s">
        <v>96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 t="s">
        <v>76</v>
      </c>
      <c r="B6" s="9">
        <v>424.0</v>
      </c>
      <c r="C6" s="13">
        <f t="shared" ref="C6:C7" si="1">B6/B5</f>
        <v>0.4416666667</v>
      </c>
      <c r="D6" s="9" t="s">
        <v>120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 t="s">
        <v>91</v>
      </c>
      <c r="B7" s="9">
        <v>89.0</v>
      </c>
      <c r="C7" s="13">
        <f t="shared" si="1"/>
        <v>0.2099056604</v>
      </c>
      <c r="D7" s="9" t="s">
        <v>127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 t="s">
        <v>4</v>
      </c>
      <c r="B8" s="9" t="s">
        <v>4</v>
      </c>
      <c r="C8" s="10" t="s">
        <v>4</v>
      </c>
      <c r="D8" s="9" t="s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97</v>
      </c>
      <c r="B9" s="11">
        <f>B5-B6</f>
        <v>536</v>
      </c>
      <c r="C9" s="21">
        <f>B9/B5</f>
        <v>0.5583333333</v>
      </c>
      <c r="D9" s="11" t="s">
        <v>157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4"/>
      <c r="B10" s="24"/>
      <c r="C10" s="9"/>
      <c r="D10" s="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8.0" customHeight="1">
      <c r="A11" s="5" t="s">
        <v>5</v>
      </c>
      <c r="B11" s="25" t="s">
        <v>176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7.5" customHeight="1">
      <c r="A12" s="24" t="s">
        <v>188</v>
      </c>
      <c r="B12" s="24" t="s">
        <v>190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7.5" customHeight="1">
      <c r="A13" s="9" t="s">
        <v>193</v>
      </c>
      <c r="B13" s="24" t="s">
        <v>194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7.5" customHeight="1">
      <c r="A14" s="9" t="s">
        <v>198</v>
      </c>
      <c r="B14" s="9" t="s">
        <v>200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7.5" customHeight="1">
      <c r="A15" s="9" t="s">
        <v>203</v>
      </c>
      <c r="B15" s="24" t="s">
        <v>204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7" t="s">
        <v>4</v>
      </c>
      <c r="B16" s="27" t="s">
        <v>4</v>
      </c>
      <c r="C16" s="27" t="s">
        <v>4</v>
      </c>
      <c r="D16" s="27" t="s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7" t="s">
        <v>4</v>
      </c>
      <c r="B17" s="27" t="s">
        <v>4</v>
      </c>
      <c r="C17" s="27" t="s">
        <v>4</v>
      </c>
      <c r="D17" s="27" t="s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7" t="s">
        <v>4</v>
      </c>
      <c r="B18" s="27" t="s">
        <v>4</v>
      </c>
      <c r="C18" s="27" t="s">
        <v>4</v>
      </c>
      <c r="D18" s="27" t="s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7" t="s">
        <v>4</v>
      </c>
      <c r="B19" s="27" t="s">
        <v>4</v>
      </c>
      <c r="C19" s="27" t="s">
        <v>4</v>
      </c>
      <c r="D19" s="27" t="s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7" t="s">
        <v>4</v>
      </c>
      <c r="B20" s="27" t="s">
        <v>4</v>
      </c>
      <c r="C20" s="27" t="s">
        <v>4</v>
      </c>
      <c r="D20" s="27" t="s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7" t="s">
        <v>4</v>
      </c>
      <c r="B21" s="27" t="s">
        <v>4</v>
      </c>
      <c r="C21" s="27" t="s">
        <v>4</v>
      </c>
      <c r="D21" s="27" t="s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5">
    <mergeCell ref="B11:D11"/>
    <mergeCell ref="B12:D12"/>
    <mergeCell ref="B13:D13"/>
    <mergeCell ref="B14:D14"/>
    <mergeCell ref="B15:D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18.25"/>
    <col customWidth="1" min="3" max="3" width="20.13"/>
    <col customWidth="1" min="4" max="4" width="18.88"/>
    <col customWidth="1" min="5" max="5" width="20.13"/>
  </cols>
  <sheetData>
    <row r="1" ht="31.5" customHeight="1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6"/>
      <c r="G1" s="6"/>
      <c r="H1" s="6"/>
    </row>
    <row r="2">
      <c r="A2" s="9" t="s">
        <v>23</v>
      </c>
      <c r="B2" s="9">
        <v>1200.0</v>
      </c>
      <c r="C2" s="9">
        <v>420.0</v>
      </c>
      <c r="D2" s="9" t="s">
        <v>4</v>
      </c>
      <c r="E2" s="9" t="s">
        <v>4</v>
      </c>
      <c r="F2" s="6"/>
      <c r="G2" s="6"/>
      <c r="H2" s="6"/>
    </row>
    <row r="3">
      <c r="A3" s="9" t="s">
        <v>25</v>
      </c>
      <c r="B3" s="9">
        <v>864.0</v>
      </c>
      <c r="C3" s="9">
        <v>300.0</v>
      </c>
      <c r="D3" s="13">
        <f t="shared" ref="D3:E3" si="1">B3/B2</f>
        <v>0.72</v>
      </c>
      <c r="E3" s="13">
        <f t="shared" si="1"/>
        <v>0.7142857143</v>
      </c>
      <c r="F3" s="6"/>
      <c r="G3" s="6"/>
      <c r="H3" s="6"/>
    </row>
    <row r="4">
      <c r="A4" s="9" t="s">
        <v>41</v>
      </c>
      <c r="B4" s="9" t="s">
        <v>4</v>
      </c>
      <c r="C4" s="9">
        <v>260.0</v>
      </c>
      <c r="D4" s="10" t="s">
        <v>4</v>
      </c>
      <c r="E4" s="13">
        <f>C4/C3</f>
        <v>0.8666666667</v>
      </c>
      <c r="F4" s="6"/>
      <c r="G4" s="6"/>
      <c r="H4" s="6"/>
    </row>
    <row r="5">
      <c r="A5" s="9" t="s">
        <v>57</v>
      </c>
      <c r="B5" s="9" t="s">
        <v>4</v>
      </c>
      <c r="C5" s="9" t="s">
        <v>4</v>
      </c>
      <c r="D5" s="10" t="s">
        <v>4</v>
      </c>
      <c r="E5" s="13">
        <f>C6/C4</f>
        <v>0.8307692308</v>
      </c>
      <c r="F5" s="6"/>
      <c r="G5" s="6"/>
      <c r="H5" s="6"/>
    </row>
    <row r="6">
      <c r="A6" s="9" t="s">
        <v>51</v>
      </c>
      <c r="B6" s="9">
        <v>744.0</v>
      </c>
      <c r="C6" s="9">
        <v>216.0</v>
      </c>
      <c r="D6" s="13">
        <f t="shared" ref="D6:E6" si="2">B6/B3</f>
        <v>0.8611111111</v>
      </c>
      <c r="E6" s="13">
        <f t="shared" si="2"/>
        <v>0.72</v>
      </c>
      <c r="F6" s="6"/>
      <c r="G6" s="6"/>
      <c r="H6" s="6"/>
    </row>
    <row r="7">
      <c r="A7" s="11" t="s">
        <v>76</v>
      </c>
      <c r="B7" s="11">
        <v>305.0</v>
      </c>
      <c r="C7" s="11">
        <v>119.0</v>
      </c>
      <c r="D7" s="15">
        <f t="shared" ref="D7:E7" si="3">B7/B6</f>
        <v>0.4099462366</v>
      </c>
      <c r="E7" s="15">
        <f t="shared" si="3"/>
        <v>0.5509259259</v>
      </c>
      <c r="F7" s="6"/>
      <c r="G7" s="6"/>
      <c r="H7" s="6"/>
    </row>
    <row r="8">
      <c r="A8" s="9" t="s">
        <v>91</v>
      </c>
      <c r="B8" s="9">
        <v>38.0</v>
      </c>
      <c r="C8" s="9">
        <v>51.0</v>
      </c>
      <c r="D8" s="10">
        <f t="shared" ref="D8:E8" si="4">B8/B7</f>
        <v>0.1245901639</v>
      </c>
      <c r="E8" s="10">
        <f t="shared" si="4"/>
        <v>0.4285714286</v>
      </c>
      <c r="F8" s="6"/>
      <c r="G8" s="6"/>
      <c r="H8" s="6"/>
    </row>
    <row r="9">
      <c r="A9" s="9" t="s">
        <v>97</v>
      </c>
      <c r="B9" s="14">
        <f t="shared" ref="B9:C9" si="5">B6-B7</f>
        <v>439</v>
      </c>
      <c r="C9" s="14">
        <f t="shared" si="5"/>
        <v>97</v>
      </c>
      <c r="D9" s="9" t="s">
        <v>4</v>
      </c>
      <c r="E9" s="9" t="s">
        <v>4</v>
      </c>
      <c r="F9" s="6"/>
      <c r="G9" s="6"/>
      <c r="H9" s="6"/>
    </row>
    <row r="10">
      <c r="A10" s="9" t="s">
        <v>112</v>
      </c>
      <c r="B10" s="13">
        <f>B9/SUM(B9:C9)</f>
        <v>0.8190298507</v>
      </c>
      <c r="C10" s="13">
        <f>C9/SUM(B9:C9)</f>
        <v>0.1809701493</v>
      </c>
      <c r="D10" s="9" t="s">
        <v>4</v>
      </c>
      <c r="E10" s="9" t="s">
        <v>4</v>
      </c>
      <c r="F10" s="6"/>
      <c r="G10" s="6"/>
      <c r="H10" s="6"/>
    </row>
    <row r="11">
      <c r="A11" s="19" t="s">
        <v>132</v>
      </c>
      <c r="B11" s="20">
        <f>ROUND((E7-D7)*100,1)</f>
        <v>14.1</v>
      </c>
      <c r="C11" s="19" t="s">
        <v>4</v>
      </c>
      <c r="D11" s="19" t="s">
        <v>4</v>
      </c>
      <c r="E11" s="19" t="s">
        <v>4</v>
      </c>
      <c r="F11" s="6"/>
      <c r="G11" s="6"/>
      <c r="H11" s="6"/>
    </row>
    <row r="12">
      <c r="A12" s="19" t="s">
        <v>147</v>
      </c>
      <c r="B12" s="22">
        <f>B6/SUM(B6:C6)</f>
        <v>0.775</v>
      </c>
      <c r="C12" s="19" t="s">
        <v>4</v>
      </c>
      <c r="D12" s="19" t="s">
        <v>4</v>
      </c>
      <c r="E12" s="19" t="s">
        <v>4</v>
      </c>
      <c r="F12" s="6"/>
      <c r="G12" s="6"/>
      <c r="H12" s="6"/>
    </row>
    <row r="13" ht="58.5" customHeight="1">
      <c r="A13" s="5" t="s">
        <v>5</v>
      </c>
      <c r="B13" s="25" t="s">
        <v>163</v>
      </c>
      <c r="F13" s="6"/>
      <c r="G13" s="6"/>
      <c r="H13" s="6"/>
    </row>
    <row r="14" ht="39.0" customHeight="1">
      <c r="A14" s="9" t="s">
        <v>172</v>
      </c>
      <c r="B14" s="24" t="s">
        <v>174</v>
      </c>
      <c r="F14" s="6"/>
      <c r="G14" s="6"/>
      <c r="H14" s="6"/>
    </row>
    <row r="15" ht="39.0" customHeight="1">
      <c r="A15" s="9" t="s">
        <v>175</v>
      </c>
      <c r="B15" s="9" t="s">
        <v>179</v>
      </c>
      <c r="F15" s="6"/>
      <c r="G15" s="6"/>
      <c r="H15" s="6"/>
    </row>
    <row r="16" ht="39.0" customHeight="1">
      <c r="A16" s="9" t="s">
        <v>183</v>
      </c>
      <c r="B16" s="9" t="s">
        <v>185</v>
      </c>
      <c r="F16" s="6"/>
      <c r="G16" s="6"/>
      <c r="H16" s="6"/>
    </row>
    <row r="17" ht="39.0" customHeight="1">
      <c r="A17" s="9" t="s">
        <v>189</v>
      </c>
      <c r="B17" s="9" t="s">
        <v>191</v>
      </c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6"/>
      <c r="D22" s="6"/>
      <c r="E22" s="6"/>
      <c r="F22" s="6"/>
      <c r="G22" s="6"/>
      <c r="H22" s="6"/>
    </row>
    <row r="23">
      <c r="A23" s="6"/>
      <c r="B23" s="6"/>
      <c r="C23" s="6"/>
      <c r="D23" s="6"/>
      <c r="E23" s="6"/>
      <c r="F23" s="6"/>
      <c r="G23" s="6"/>
      <c r="H23" s="6"/>
    </row>
    <row r="24">
      <c r="A24" s="6"/>
      <c r="B24" s="6"/>
      <c r="C24" s="6"/>
      <c r="D24" s="6"/>
      <c r="E24" s="6"/>
      <c r="F24" s="6"/>
      <c r="G24" s="6"/>
      <c r="H24" s="6"/>
    </row>
    <row r="25">
      <c r="A25" s="6"/>
      <c r="B25" s="6"/>
      <c r="C25" s="6"/>
      <c r="D25" s="6"/>
      <c r="E25" s="6"/>
      <c r="F25" s="6"/>
      <c r="G25" s="6"/>
      <c r="H25" s="6"/>
    </row>
    <row r="26">
      <c r="A26" s="6"/>
      <c r="B26" s="6"/>
      <c r="C26" s="6"/>
      <c r="D26" s="6"/>
      <c r="E26" s="6"/>
      <c r="F26" s="6"/>
      <c r="G26" s="6"/>
      <c r="H26" s="6"/>
    </row>
    <row r="27">
      <c r="A27" s="6"/>
      <c r="B27" s="6"/>
      <c r="C27" s="6"/>
      <c r="D27" s="6"/>
      <c r="E27" s="6"/>
      <c r="F27" s="6"/>
      <c r="G27" s="6"/>
      <c r="H27" s="6"/>
    </row>
    <row r="28">
      <c r="A28" s="6"/>
      <c r="B28" s="6"/>
      <c r="C28" s="6"/>
      <c r="D28" s="6"/>
      <c r="E28" s="6"/>
      <c r="F28" s="6"/>
      <c r="G28" s="6"/>
      <c r="H28" s="6"/>
    </row>
    <row r="29">
      <c r="A29" s="6"/>
      <c r="B29" s="6"/>
      <c r="C29" s="6"/>
      <c r="D29" s="6"/>
      <c r="E29" s="6"/>
      <c r="F29" s="6"/>
      <c r="G29" s="6"/>
      <c r="H29" s="6"/>
    </row>
    <row r="30">
      <c r="A30" s="6"/>
      <c r="B30" s="6"/>
      <c r="C30" s="6"/>
      <c r="D30" s="6"/>
      <c r="E30" s="6"/>
      <c r="F30" s="6"/>
      <c r="G30" s="6"/>
      <c r="H30" s="6"/>
    </row>
    <row r="31">
      <c r="A31" s="6"/>
      <c r="B31" s="6"/>
      <c r="C31" s="6"/>
      <c r="D31" s="6"/>
      <c r="E31" s="6"/>
      <c r="F31" s="6"/>
      <c r="G31" s="6"/>
      <c r="H31" s="6"/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</sheetData>
  <mergeCells count="5">
    <mergeCell ref="B13:E13"/>
    <mergeCell ref="B14:E14"/>
    <mergeCell ref="B15:E15"/>
    <mergeCell ref="B16:E16"/>
    <mergeCell ref="B17:E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81.38"/>
  </cols>
  <sheetData>
    <row r="1" ht="28.5" customHeight="1">
      <c r="A1" s="2" t="s">
        <v>2</v>
      </c>
      <c r="B1" s="4" t="s">
        <v>4</v>
      </c>
    </row>
    <row r="2" ht="54.75" customHeight="1">
      <c r="A2" s="5" t="s">
        <v>5</v>
      </c>
      <c r="B2" s="5" t="s">
        <v>6</v>
      </c>
    </row>
    <row r="3" ht="43.5" customHeight="1">
      <c r="A3" s="5" t="s">
        <v>8</v>
      </c>
      <c r="B3" s="5" t="s">
        <v>9</v>
      </c>
    </row>
    <row r="4" ht="43.5" customHeight="1">
      <c r="A4" s="5" t="s">
        <v>11</v>
      </c>
      <c r="B4" s="5" t="s">
        <v>12</v>
      </c>
    </row>
    <row r="5" ht="43.5" customHeight="1">
      <c r="A5" s="7" t="s">
        <v>13</v>
      </c>
      <c r="B5" s="7" t="s">
        <v>14</v>
      </c>
    </row>
    <row r="6" ht="43.5" customHeight="1">
      <c r="A6" s="5" t="s">
        <v>15</v>
      </c>
      <c r="B6" s="5" t="s">
        <v>16</v>
      </c>
    </row>
    <row r="7" ht="43.5" customHeight="1">
      <c r="A7" s="5" t="s">
        <v>17</v>
      </c>
      <c r="B7" s="5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14.5"/>
    <col customWidth="1" min="3" max="3" width="69.5"/>
    <col customWidth="1" min="4" max="4" width="13.88"/>
  </cols>
  <sheetData>
    <row r="1" ht="29.25" customHeight="1">
      <c r="A1" s="3" t="s">
        <v>1</v>
      </c>
      <c r="B1" s="3" t="s">
        <v>4</v>
      </c>
      <c r="C1" s="3" t="s">
        <v>4</v>
      </c>
      <c r="D1" s="3" t="s">
        <v>4</v>
      </c>
      <c r="E1" s="8"/>
      <c r="F1" s="8"/>
      <c r="G1" s="8"/>
      <c r="H1" s="8"/>
    </row>
    <row r="2" ht="60.0" customHeight="1">
      <c r="A2" s="9" t="s">
        <v>5</v>
      </c>
      <c r="B2" s="9" t="s">
        <v>24</v>
      </c>
      <c r="D2" s="9" t="s">
        <v>4</v>
      </c>
      <c r="E2" s="8"/>
      <c r="F2" s="8"/>
      <c r="G2" s="8"/>
      <c r="H2" s="8"/>
    </row>
    <row r="3" ht="43.5" customHeight="1">
      <c r="A3" s="11" t="s">
        <v>27</v>
      </c>
      <c r="B3" s="11" t="s">
        <v>28</v>
      </c>
      <c r="E3" s="8"/>
      <c r="F3" s="8"/>
      <c r="G3" s="8"/>
      <c r="H3" s="8"/>
    </row>
    <row r="4" ht="27.0" customHeight="1">
      <c r="A4" s="3" t="s">
        <v>29</v>
      </c>
      <c r="B4" s="3" t="s">
        <v>30</v>
      </c>
      <c r="C4" s="3" t="s">
        <v>31</v>
      </c>
      <c r="D4" s="3" t="s">
        <v>4</v>
      </c>
      <c r="E4" s="8"/>
      <c r="F4" s="8"/>
      <c r="G4" s="8"/>
      <c r="H4" s="8"/>
    </row>
    <row r="5">
      <c r="A5" s="9" t="s">
        <v>32</v>
      </c>
      <c r="B5" s="9">
        <v>0.0</v>
      </c>
      <c r="C5" s="9" t="s">
        <v>33</v>
      </c>
      <c r="D5" s="9" t="s">
        <v>4</v>
      </c>
      <c r="E5" s="8"/>
      <c r="F5" s="8"/>
      <c r="G5" s="8"/>
      <c r="H5" s="8"/>
    </row>
    <row r="6">
      <c r="A6" s="9" t="s">
        <v>34</v>
      </c>
      <c r="B6" s="9">
        <v>3.0</v>
      </c>
      <c r="C6" s="9" t="s">
        <v>35</v>
      </c>
      <c r="D6" s="9" t="s">
        <v>4</v>
      </c>
      <c r="E6" s="8"/>
      <c r="F6" s="8"/>
      <c r="G6" s="8"/>
      <c r="H6" s="8"/>
    </row>
    <row r="7">
      <c r="A7" s="9" t="s">
        <v>36</v>
      </c>
      <c r="B7" s="14">
        <f>B6-B5</f>
        <v>3</v>
      </c>
      <c r="C7" s="9" t="s">
        <v>39</v>
      </c>
      <c r="D7" s="9" t="s">
        <v>4</v>
      </c>
      <c r="E7" s="8"/>
      <c r="F7" s="8"/>
      <c r="G7" s="8"/>
      <c r="H7" s="8"/>
    </row>
    <row r="8">
      <c r="A8" s="9" t="s">
        <v>40</v>
      </c>
      <c r="B8" s="9">
        <v>3.0</v>
      </c>
      <c r="C8" s="9" t="s">
        <v>42</v>
      </c>
      <c r="D8" s="9" t="s">
        <v>4</v>
      </c>
      <c r="E8" s="8"/>
      <c r="F8" s="8"/>
      <c r="G8" s="8"/>
      <c r="H8" s="8"/>
    </row>
    <row r="9">
      <c r="A9" s="9" t="s">
        <v>43</v>
      </c>
      <c r="B9" s="9">
        <v>19.0</v>
      </c>
      <c r="C9" s="9" t="s">
        <v>46</v>
      </c>
      <c r="D9" s="9" t="s">
        <v>4</v>
      </c>
      <c r="E9" s="8"/>
      <c r="F9" s="8"/>
      <c r="G9" s="8"/>
      <c r="H9" s="8"/>
    </row>
    <row r="10">
      <c r="A10" s="9" t="s">
        <v>47</v>
      </c>
      <c r="B10" s="9">
        <v>6.0</v>
      </c>
      <c r="C10" s="9" t="s">
        <v>48</v>
      </c>
      <c r="D10" s="9" t="s">
        <v>4</v>
      </c>
      <c r="E10" s="8"/>
      <c r="F10" s="8"/>
      <c r="G10" s="8"/>
      <c r="H10" s="8"/>
    </row>
    <row r="11">
      <c r="A11" s="9" t="s">
        <v>52</v>
      </c>
      <c r="B11" s="9">
        <v>12.0</v>
      </c>
      <c r="C11" s="9" t="s">
        <v>53</v>
      </c>
      <c r="D11" s="9" t="s">
        <v>4</v>
      </c>
      <c r="E11" s="8"/>
      <c r="F11" s="8"/>
      <c r="G11" s="8"/>
      <c r="H11" s="8"/>
    </row>
    <row r="12">
      <c r="A12" s="9" t="s">
        <v>54</v>
      </c>
      <c r="B12" s="9">
        <v>71.0</v>
      </c>
      <c r="C12" s="9" t="s">
        <v>55</v>
      </c>
      <c r="D12" s="9" t="s">
        <v>4</v>
      </c>
      <c r="E12" s="8"/>
      <c r="F12" s="8"/>
      <c r="G12" s="8"/>
      <c r="H12" s="8"/>
    </row>
    <row r="13">
      <c r="A13" s="9" t="s">
        <v>56</v>
      </c>
      <c r="B13" s="14">
        <f>B12-B9</f>
        <v>52</v>
      </c>
      <c r="C13" s="9" t="s">
        <v>64</v>
      </c>
      <c r="D13" s="9" t="s">
        <v>4</v>
      </c>
      <c r="E13" s="8"/>
      <c r="F13" s="8"/>
      <c r="G13" s="8"/>
      <c r="H13" s="8"/>
    </row>
    <row r="14">
      <c r="A14" s="9" t="s">
        <v>68</v>
      </c>
      <c r="B14" s="14">
        <f>B12-B11</f>
        <v>59</v>
      </c>
      <c r="C14" s="9" t="s">
        <v>81</v>
      </c>
      <c r="D14" s="9" t="s">
        <v>4</v>
      </c>
      <c r="E14" s="8"/>
      <c r="F14" s="8"/>
      <c r="G14" s="8"/>
      <c r="H14" s="8"/>
    </row>
    <row r="15">
      <c r="A15" s="9" t="s">
        <v>83</v>
      </c>
      <c r="B15" s="16">
        <f>AVERAGE(C20:C29)</f>
        <v>90.2</v>
      </c>
      <c r="C15" s="9" t="s">
        <v>98</v>
      </c>
      <c r="D15" s="9" t="s">
        <v>4</v>
      </c>
      <c r="E15" s="8"/>
      <c r="F15" s="8"/>
      <c r="G15" s="8"/>
      <c r="H15" s="8"/>
    </row>
    <row r="16">
      <c r="A16" s="9" t="s">
        <v>102</v>
      </c>
      <c r="B16" s="14" t="str">
        <f>MIN(C20:C29)&amp;"–"&amp;MAX(C20:C29)</f>
        <v>88–93</v>
      </c>
      <c r="C16" s="9" t="s">
        <v>119</v>
      </c>
      <c r="D16" s="9" t="s">
        <v>4</v>
      </c>
      <c r="E16" s="8"/>
      <c r="F16" s="8"/>
      <c r="G16" s="8"/>
      <c r="H16" s="8"/>
    </row>
    <row r="17">
      <c r="A17" s="9" t="s">
        <v>4</v>
      </c>
      <c r="B17" s="9" t="s">
        <v>4</v>
      </c>
      <c r="C17" s="9" t="s">
        <v>4</v>
      </c>
      <c r="D17" s="9" t="s">
        <v>4</v>
      </c>
      <c r="E17" s="8"/>
      <c r="F17" s="8"/>
      <c r="G17" s="8"/>
      <c r="H17" s="8"/>
    </row>
    <row r="18" ht="24.75" customHeight="1">
      <c r="A18" s="18" t="s">
        <v>123</v>
      </c>
      <c r="B18" s="18" t="s">
        <v>4</v>
      </c>
      <c r="C18" s="18" t="s">
        <v>4</v>
      </c>
      <c r="D18" s="18" t="s">
        <v>4</v>
      </c>
      <c r="E18" s="8"/>
      <c r="F18" s="8"/>
      <c r="G18" s="8"/>
      <c r="H18" s="8"/>
    </row>
    <row r="19" ht="24.75" customHeight="1">
      <c r="A19" s="18" t="s">
        <v>128</v>
      </c>
      <c r="B19" s="18" t="s">
        <v>129</v>
      </c>
      <c r="C19" s="18" t="s">
        <v>130</v>
      </c>
      <c r="D19" s="18" t="s">
        <v>131</v>
      </c>
      <c r="E19" s="8"/>
      <c r="F19" s="8"/>
      <c r="G19" s="8"/>
      <c r="H19" s="8"/>
    </row>
    <row r="20">
      <c r="A20" s="9">
        <v>1.0</v>
      </c>
      <c r="B20" s="9">
        <v>0.0</v>
      </c>
      <c r="C20" s="9">
        <v>88.0</v>
      </c>
      <c r="D20" s="9">
        <v>184.0</v>
      </c>
      <c r="E20" s="8"/>
      <c r="F20" s="8"/>
      <c r="G20" s="8"/>
      <c r="H20" s="8"/>
    </row>
    <row r="21">
      <c r="A21" s="9">
        <v>2.0</v>
      </c>
      <c r="B21" s="9">
        <v>7.0</v>
      </c>
      <c r="C21" s="9">
        <v>91.0</v>
      </c>
      <c r="D21" s="9">
        <v>191.0</v>
      </c>
      <c r="E21" s="8"/>
      <c r="F21" s="8"/>
      <c r="G21" s="8"/>
      <c r="H21" s="8"/>
    </row>
    <row r="22">
      <c r="A22" s="9">
        <v>3.0</v>
      </c>
      <c r="B22" s="9">
        <v>14.0</v>
      </c>
      <c r="C22" s="9">
        <v>93.0</v>
      </c>
      <c r="D22" s="9">
        <v>195.0</v>
      </c>
      <c r="E22" s="8"/>
      <c r="F22" s="8"/>
      <c r="G22" s="8"/>
      <c r="H22" s="8"/>
    </row>
    <row r="23">
      <c r="A23" s="9">
        <v>4.0</v>
      </c>
      <c r="B23" s="9">
        <v>21.0</v>
      </c>
      <c r="C23" s="9">
        <v>90.0</v>
      </c>
      <c r="D23" s="9">
        <v>189.0</v>
      </c>
      <c r="E23" s="8"/>
      <c r="F23" s="8"/>
      <c r="G23" s="8"/>
      <c r="H23" s="8"/>
    </row>
    <row r="24">
      <c r="A24" s="9">
        <v>5.0</v>
      </c>
      <c r="B24" s="9">
        <v>28.0</v>
      </c>
      <c r="C24" s="9">
        <v>89.0</v>
      </c>
      <c r="D24" s="9">
        <v>186.0</v>
      </c>
      <c r="E24" s="8"/>
      <c r="F24" s="8"/>
      <c r="G24" s="8"/>
      <c r="H24" s="8"/>
    </row>
    <row r="25">
      <c r="A25" s="9">
        <v>6.0</v>
      </c>
      <c r="B25" s="9">
        <v>35.0</v>
      </c>
      <c r="C25" s="9">
        <v>92.0</v>
      </c>
      <c r="D25" s="9">
        <v>193.0</v>
      </c>
      <c r="E25" s="8"/>
      <c r="F25" s="8"/>
      <c r="G25" s="8"/>
      <c r="H25" s="8"/>
    </row>
    <row r="26">
      <c r="A26" s="9">
        <v>7.0</v>
      </c>
      <c r="B26" s="9">
        <v>42.0</v>
      </c>
      <c r="C26" s="9">
        <v>90.0</v>
      </c>
      <c r="D26" s="9">
        <v>189.0</v>
      </c>
      <c r="E26" s="8"/>
      <c r="F26" s="8"/>
      <c r="G26" s="8"/>
      <c r="H26" s="8"/>
    </row>
    <row r="27">
      <c r="A27" s="9">
        <v>8.0</v>
      </c>
      <c r="B27" s="9">
        <v>49.0</v>
      </c>
      <c r="C27" s="9">
        <v>91.0</v>
      </c>
      <c r="D27" s="9">
        <v>191.0</v>
      </c>
      <c r="E27" s="8"/>
      <c r="F27" s="8"/>
      <c r="G27" s="8"/>
      <c r="H27" s="8"/>
    </row>
    <row r="28">
      <c r="A28" s="9">
        <v>9.0</v>
      </c>
      <c r="B28" s="9">
        <v>56.0</v>
      </c>
      <c r="C28" s="9">
        <v>90.0</v>
      </c>
      <c r="D28" s="9">
        <v>189.0</v>
      </c>
      <c r="E28" s="8"/>
      <c r="F28" s="8"/>
      <c r="G28" s="8"/>
      <c r="H28" s="8"/>
    </row>
    <row r="29">
      <c r="A29" s="9">
        <v>10.0</v>
      </c>
      <c r="B29" s="9">
        <v>63.0</v>
      </c>
      <c r="C29" s="9">
        <v>88.0</v>
      </c>
      <c r="D29" s="9">
        <v>184.0</v>
      </c>
      <c r="E29" s="8"/>
      <c r="F29" s="8"/>
      <c r="G29" s="8"/>
      <c r="H29" s="8"/>
    </row>
    <row r="30">
      <c r="A30" s="9" t="s">
        <v>4</v>
      </c>
      <c r="B30" s="9" t="s">
        <v>4</v>
      </c>
      <c r="C30" s="9" t="s">
        <v>4</v>
      </c>
      <c r="D30" s="9" t="s">
        <v>4</v>
      </c>
      <c r="E30" s="8"/>
      <c r="F30" s="8"/>
      <c r="G30" s="8"/>
      <c r="H30" s="8"/>
    </row>
    <row r="31" ht="25.5" customHeight="1">
      <c r="A31" s="18" t="s">
        <v>154</v>
      </c>
      <c r="B31" s="18" t="s">
        <v>4</v>
      </c>
      <c r="C31" s="18" t="s">
        <v>4</v>
      </c>
      <c r="D31" s="18" t="s">
        <v>4</v>
      </c>
      <c r="E31" s="23"/>
      <c r="F31" s="23"/>
      <c r="G31" s="23"/>
      <c r="H31" s="23"/>
    </row>
    <row r="32" ht="46.5" customHeight="1">
      <c r="A32" s="9" t="s">
        <v>171</v>
      </c>
      <c r="B32" s="26"/>
      <c r="C32" s="9" t="s">
        <v>178</v>
      </c>
      <c r="E32" s="23"/>
      <c r="F32" s="23"/>
      <c r="G32" s="23"/>
      <c r="H32" s="23"/>
    </row>
    <row r="33" ht="46.5" customHeight="1">
      <c r="A33" s="9" t="s">
        <v>184</v>
      </c>
      <c r="B33" s="26"/>
      <c r="C33" s="9" t="s">
        <v>187</v>
      </c>
      <c r="E33" s="23"/>
      <c r="F33" s="23"/>
      <c r="G33" s="23"/>
      <c r="H33" s="23"/>
    </row>
    <row r="34" ht="46.5" customHeight="1">
      <c r="A34" s="9" t="s">
        <v>192</v>
      </c>
      <c r="B34" s="26"/>
      <c r="C34" s="9" t="s">
        <v>195</v>
      </c>
      <c r="E34" s="23"/>
      <c r="F34" s="23"/>
      <c r="G34" s="23"/>
      <c r="H34" s="23"/>
    </row>
    <row r="35" ht="46.5" customHeight="1">
      <c r="A35" s="9" t="s">
        <v>192</v>
      </c>
      <c r="B35" s="26"/>
      <c r="C35" s="9" t="s">
        <v>196</v>
      </c>
      <c r="E35" s="23"/>
      <c r="F35" s="23"/>
      <c r="G35" s="23"/>
      <c r="H35" s="23"/>
    </row>
    <row r="36" ht="46.5" customHeight="1">
      <c r="A36" s="9" t="s">
        <v>197</v>
      </c>
      <c r="B36" s="26"/>
      <c r="C36" s="9" t="s">
        <v>199</v>
      </c>
      <c r="E36" s="23"/>
      <c r="F36" s="23"/>
      <c r="G36" s="23"/>
      <c r="H36" s="23"/>
    </row>
    <row r="37" ht="46.5" customHeight="1">
      <c r="A37" s="9" t="s">
        <v>201</v>
      </c>
      <c r="B37" s="26"/>
      <c r="C37" s="9" t="s">
        <v>202</v>
      </c>
      <c r="E37" s="23"/>
      <c r="F37" s="23"/>
      <c r="G37" s="23"/>
      <c r="H37" s="23"/>
    </row>
    <row r="38">
      <c r="A38" s="23"/>
      <c r="B38" s="23"/>
      <c r="C38" s="23"/>
      <c r="D38" s="23"/>
      <c r="E38" s="8"/>
      <c r="F38" s="8"/>
      <c r="G38" s="8"/>
      <c r="H38" s="8"/>
    </row>
    <row r="39">
      <c r="A39" s="23"/>
      <c r="B39" s="23"/>
      <c r="C39" s="23"/>
      <c r="D39" s="23"/>
      <c r="E39" s="8"/>
      <c r="F39" s="8"/>
      <c r="G39" s="8"/>
      <c r="H39" s="8"/>
    </row>
    <row r="40">
      <c r="A40" s="8"/>
      <c r="B40" s="8"/>
      <c r="C40" s="8"/>
      <c r="D40" s="8"/>
      <c r="E40" s="8"/>
      <c r="F40" s="8"/>
      <c r="G40" s="8"/>
      <c r="H40" s="8"/>
    </row>
    <row r="41">
      <c r="A41" s="8"/>
      <c r="B41" s="8"/>
      <c r="C41" s="8"/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8"/>
      <c r="B43" s="8"/>
      <c r="C43" s="8"/>
      <c r="D43" s="8"/>
      <c r="E43" s="8"/>
      <c r="F43" s="8"/>
      <c r="G43" s="8"/>
      <c r="H43" s="8"/>
    </row>
    <row r="44">
      <c r="A44" s="8"/>
      <c r="B44" s="8"/>
      <c r="C44" s="8"/>
      <c r="D44" s="8"/>
      <c r="E44" s="8"/>
      <c r="F44" s="8"/>
      <c r="G44" s="8"/>
      <c r="H44" s="8"/>
    </row>
    <row r="45">
      <c r="A45" s="8"/>
      <c r="B45" s="8"/>
      <c r="C45" s="8"/>
      <c r="D45" s="8"/>
      <c r="E45" s="8"/>
      <c r="F45" s="8"/>
      <c r="G45" s="8"/>
      <c r="H45" s="8"/>
    </row>
    <row r="46">
      <c r="A46" s="8"/>
      <c r="B46" s="8"/>
      <c r="C46" s="8"/>
      <c r="D46" s="8"/>
      <c r="E46" s="8"/>
      <c r="F46" s="8"/>
      <c r="G46" s="8"/>
      <c r="H46" s="8"/>
    </row>
    <row r="47">
      <c r="A47" s="8"/>
      <c r="B47" s="8"/>
      <c r="C47" s="8"/>
      <c r="D47" s="8"/>
      <c r="E47" s="8"/>
      <c r="F47" s="8"/>
      <c r="G47" s="8"/>
      <c r="H47" s="8"/>
    </row>
    <row r="48">
      <c r="A48" s="8"/>
      <c r="B48" s="8"/>
      <c r="C48" s="8"/>
      <c r="D48" s="8"/>
      <c r="E48" s="8"/>
      <c r="F48" s="8"/>
      <c r="G48" s="8"/>
      <c r="H48" s="8"/>
    </row>
    <row r="49">
      <c r="A49" s="8"/>
      <c r="B49" s="8"/>
      <c r="C49" s="8"/>
      <c r="D49" s="8"/>
      <c r="E49" s="8"/>
      <c r="F49" s="8"/>
      <c r="G49" s="8"/>
      <c r="H49" s="8"/>
    </row>
    <row r="50">
      <c r="A50" s="8"/>
      <c r="B50" s="8"/>
      <c r="C50" s="8"/>
      <c r="D50" s="8"/>
      <c r="E50" s="8"/>
      <c r="F50" s="8"/>
      <c r="G50" s="8"/>
      <c r="H50" s="8"/>
    </row>
    <row r="51">
      <c r="A51" s="8"/>
      <c r="B51" s="8"/>
      <c r="C51" s="8"/>
      <c r="D51" s="8"/>
      <c r="E51" s="8"/>
      <c r="F51" s="8"/>
      <c r="G51" s="8"/>
      <c r="H51" s="8"/>
    </row>
    <row r="52">
      <c r="A52" s="8"/>
      <c r="B52" s="8"/>
      <c r="C52" s="8"/>
      <c r="D52" s="8"/>
      <c r="E52" s="8"/>
      <c r="F52" s="8"/>
      <c r="G52" s="8"/>
      <c r="H52" s="8"/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1">
      <c r="A61" s="8"/>
      <c r="B61" s="8"/>
      <c r="C61" s="8"/>
      <c r="D61" s="8"/>
      <c r="E61" s="8"/>
      <c r="F61" s="8"/>
      <c r="G61" s="8"/>
      <c r="H61" s="8"/>
    </row>
    <row r="62">
      <c r="A62" s="8"/>
      <c r="B62" s="8"/>
      <c r="C62" s="8"/>
      <c r="D62" s="8"/>
      <c r="E62" s="8"/>
      <c r="F62" s="8"/>
      <c r="G62" s="8"/>
      <c r="H62" s="8"/>
    </row>
    <row r="63">
      <c r="A63" s="8"/>
      <c r="B63" s="8"/>
      <c r="C63" s="8"/>
      <c r="D63" s="8"/>
      <c r="E63" s="8"/>
      <c r="F63" s="8"/>
      <c r="G63" s="8"/>
      <c r="H63" s="8"/>
    </row>
    <row r="64">
      <c r="A64" s="8"/>
      <c r="B64" s="8"/>
      <c r="C64" s="8"/>
      <c r="D64" s="8"/>
      <c r="E64" s="8"/>
      <c r="F64" s="8"/>
      <c r="G64" s="8"/>
      <c r="H64" s="8"/>
    </row>
    <row r="65">
      <c r="A65" s="8"/>
      <c r="B65" s="8"/>
      <c r="C65" s="8"/>
      <c r="D65" s="8"/>
      <c r="E65" s="8"/>
      <c r="F65" s="8"/>
      <c r="G65" s="8"/>
      <c r="H65" s="8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</sheetData>
  <mergeCells count="8">
    <mergeCell ref="B2:C2"/>
    <mergeCell ref="B3:D3"/>
    <mergeCell ref="C32:D32"/>
    <mergeCell ref="C33:D33"/>
    <mergeCell ref="C34:D34"/>
    <mergeCell ref="C35:D35"/>
    <mergeCell ref="C36:D36"/>
    <mergeCell ref="C37:D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52.0"/>
    <col customWidth="1" min="3" max="3" width="30.75"/>
    <col customWidth="1" min="4" max="4" width="30.13"/>
    <col customWidth="1" min="5" max="5" width="30.75"/>
  </cols>
  <sheetData>
    <row r="1">
      <c r="A1" s="12" t="s">
        <v>37</v>
      </c>
      <c r="F1" s="6"/>
      <c r="G1" s="6"/>
      <c r="H1" s="6"/>
    </row>
    <row r="2" ht="48.0" customHeight="1">
      <c r="A2" s="9" t="s">
        <v>5</v>
      </c>
      <c r="B2" s="9" t="s">
        <v>45</v>
      </c>
      <c r="F2" s="6"/>
      <c r="G2" s="6"/>
      <c r="H2" s="6"/>
    </row>
    <row r="3" ht="48.0" customHeight="1">
      <c r="A3" s="9" t="s">
        <v>49</v>
      </c>
      <c r="B3" s="9" t="s">
        <v>50</v>
      </c>
      <c r="F3" s="6"/>
      <c r="G3" s="6"/>
      <c r="H3" s="6"/>
    </row>
    <row r="4">
      <c r="A4" s="14"/>
      <c r="B4" s="14"/>
      <c r="C4" s="14"/>
      <c r="D4" s="14"/>
      <c r="E4" s="14"/>
      <c r="F4" s="6"/>
      <c r="G4" s="6"/>
      <c r="H4" s="6"/>
    </row>
    <row r="5">
      <c r="A5" s="12" t="s">
        <v>58</v>
      </c>
      <c r="F5" s="6"/>
      <c r="G5" s="6"/>
      <c r="H5" s="6"/>
    </row>
    <row r="6">
      <c r="A6" s="12" t="s">
        <v>59</v>
      </c>
      <c r="B6" s="12" t="s">
        <v>60</v>
      </c>
      <c r="C6" s="12" t="s">
        <v>61</v>
      </c>
      <c r="D6" s="12" t="s">
        <v>62</v>
      </c>
      <c r="E6" s="12" t="s">
        <v>63</v>
      </c>
      <c r="F6" s="6"/>
      <c r="G6" s="6"/>
      <c r="H6" s="6"/>
    </row>
    <row r="7" ht="56.25" customHeight="1">
      <c r="A7" s="9" t="s">
        <v>65</v>
      </c>
      <c r="B7" s="9" t="s">
        <v>66</v>
      </c>
      <c r="C7" s="9" t="s">
        <v>67</v>
      </c>
      <c r="D7" s="9" t="s">
        <v>69</v>
      </c>
      <c r="E7" s="9" t="s">
        <v>70</v>
      </c>
      <c r="F7" s="6"/>
      <c r="G7" s="6"/>
      <c r="H7" s="6"/>
    </row>
    <row r="8" ht="56.25" customHeight="1">
      <c r="A8" s="9" t="s">
        <v>71</v>
      </c>
      <c r="B8" s="9" t="s">
        <v>72</v>
      </c>
      <c r="C8" s="9" t="s">
        <v>67</v>
      </c>
      <c r="D8" s="9" t="s">
        <v>69</v>
      </c>
      <c r="E8" s="9" t="s">
        <v>70</v>
      </c>
      <c r="F8" s="6"/>
      <c r="G8" s="6"/>
      <c r="H8" s="6"/>
    </row>
    <row r="9" ht="56.25" customHeight="1">
      <c r="A9" s="9" t="s">
        <v>73</v>
      </c>
      <c r="B9" s="9" t="s">
        <v>74</v>
      </c>
      <c r="C9" s="9" t="s">
        <v>75</v>
      </c>
      <c r="D9" s="9" t="s">
        <v>69</v>
      </c>
      <c r="E9" s="9" t="s">
        <v>70</v>
      </c>
      <c r="F9" s="6"/>
      <c r="G9" s="6"/>
      <c r="H9" s="6"/>
    </row>
    <row r="10" ht="56.25" customHeight="1">
      <c r="A10" s="9" t="s">
        <v>77</v>
      </c>
      <c r="B10" s="9" t="s">
        <v>78</v>
      </c>
      <c r="C10" s="9" t="s">
        <v>79</v>
      </c>
      <c r="D10" s="9" t="s">
        <v>80</v>
      </c>
      <c r="E10" s="9" t="s">
        <v>70</v>
      </c>
      <c r="F10" s="6"/>
      <c r="G10" s="6"/>
      <c r="H10" s="6"/>
    </row>
    <row r="11" ht="56.25" customHeight="1">
      <c r="A11" s="9" t="s">
        <v>82</v>
      </c>
      <c r="B11" s="9" t="s">
        <v>84</v>
      </c>
      <c r="C11" s="9" t="s">
        <v>85</v>
      </c>
      <c r="D11" s="9" t="s">
        <v>86</v>
      </c>
      <c r="E11" s="9" t="s">
        <v>87</v>
      </c>
      <c r="F11" s="6"/>
      <c r="G11" s="6"/>
      <c r="H11" s="6"/>
    </row>
    <row r="12" ht="56.25" customHeight="1">
      <c r="A12" s="9" t="s">
        <v>88</v>
      </c>
      <c r="B12" s="9" t="s">
        <v>89</v>
      </c>
      <c r="C12" s="9" t="s">
        <v>90</v>
      </c>
      <c r="D12" s="9" t="s">
        <v>92</v>
      </c>
      <c r="E12" s="9" t="s">
        <v>93</v>
      </c>
      <c r="F12" s="6"/>
      <c r="G12" s="6"/>
      <c r="H12" s="6"/>
    </row>
    <row r="13">
      <c r="A13" s="14"/>
      <c r="B13" s="14"/>
      <c r="C13" s="14"/>
      <c r="D13" s="14"/>
      <c r="E13" s="14"/>
      <c r="F13" s="6"/>
      <c r="G13" s="6"/>
      <c r="H13" s="6"/>
    </row>
    <row r="14">
      <c r="A14" s="12" t="s">
        <v>94</v>
      </c>
      <c r="F14" s="6"/>
      <c r="G14" s="6"/>
      <c r="H14" s="6"/>
    </row>
    <row r="15">
      <c r="A15" s="12" t="s">
        <v>95</v>
      </c>
      <c r="B15" s="12" t="s">
        <v>99</v>
      </c>
      <c r="C15" s="12" t="s">
        <v>100</v>
      </c>
      <c r="D15" s="12" t="s">
        <v>101</v>
      </c>
      <c r="E15" s="12" t="s">
        <v>103</v>
      </c>
      <c r="F15" s="6"/>
      <c r="G15" s="6"/>
      <c r="H15" s="6"/>
    </row>
    <row r="16" ht="57.0" customHeight="1">
      <c r="A16" s="9" t="s">
        <v>104</v>
      </c>
      <c r="B16" s="9" t="s">
        <v>105</v>
      </c>
      <c r="C16" s="9" t="s">
        <v>106</v>
      </c>
      <c r="D16" s="9" t="s">
        <v>107</v>
      </c>
      <c r="E16" s="9" t="s">
        <v>108</v>
      </c>
      <c r="F16" s="6"/>
      <c r="G16" s="6"/>
      <c r="H16" s="6"/>
    </row>
    <row r="17" ht="57.0" customHeight="1">
      <c r="A17" s="9" t="s">
        <v>109</v>
      </c>
      <c r="B17" s="9" t="s">
        <v>110</v>
      </c>
      <c r="C17" s="9" t="s">
        <v>111</v>
      </c>
      <c r="D17" s="9" t="s">
        <v>70</v>
      </c>
      <c r="E17" s="9" t="s">
        <v>113</v>
      </c>
      <c r="F17" s="6"/>
      <c r="G17" s="6"/>
      <c r="H17" s="6"/>
    </row>
    <row r="18" ht="57.0" customHeight="1">
      <c r="A18" s="9" t="s">
        <v>114</v>
      </c>
      <c r="B18" s="9" t="s">
        <v>115</v>
      </c>
      <c r="C18" s="9" t="s">
        <v>116</v>
      </c>
      <c r="D18" s="9" t="s">
        <v>117</v>
      </c>
      <c r="E18" s="9" t="s">
        <v>118</v>
      </c>
      <c r="F18" s="6"/>
      <c r="G18" s="6"/>
      <c r="H18" s="6"/>
    </row>
    <row r="19" ht="57.0" customHeight="1">
      <c r="A19" s="17" t="s">
        <v>121</v>
      </c>
      <c r="B19" s="17" t="s">
        <v>122</v>
      </c>
      <c r="C19" s="17" t="s">
        <v>124</v>
      </c>
      <c r="D19" s="17" t="s">
        <v>125</v>
      </c>
      <c r="E19" s="17" t="s">
        <v>126</v>
      </c>
      <c r="F19" s="6"/>
      <c r="G19" s="6"/>
      <c r="H19" s="6"/>
    </row>
    <row r="20" ht="57.0" customHeight="1">
      <c r="A20" s="17" t="s">
        <v>133</v>
      </c>
      <c r="B20" s="17" t="s">
        <v>134</v>
      </c>
      <c r="C20" s="17" t="s">
        <v>135</v>
      </c>
      <c r="D20" s="17" t="s">
        <v>70</v>
      </c>
      <c r="E20" s="17" t="s">
        <v>136</v>
      </c>
      <c r="F20" s="6"/>
      <c r="G20" s="6"/>
      <c r="H20" s="6"/>
    </row>
    <row r="21">
      <c r="A21" s="14"/>
      <c r="B21" s="14"/>
      <c r="C21" s="14"/>
      <c r="D21" s="14"/>
      <c r="E21" s="14"/>
      <c r="F21" s="6"/>
      <c r="G21" s="6"/>
      <c r="H21" s="6"/>
    </row>
    <row r="22">
      <c r="A22" s="12" t="s">
        <v>137</v>
      </c>
      <c r="F22" s="6"/>
      <c r="G22" s="6"/>
      <c r="H22" s="6"/>
    </row>
    <row r="23">
      <c r="A23" s="12" t="s">
        <v>138</v>
      </c>
      <c r="B23" s="12" t="s">
        <v>139</v>
      </c>
      <c r="C23" s="12" t="s">
        <v>140</v>
      </c>
      <c r="D23" s="12" t="s">
        <v>141</v>
      </c>
      <c r="E23" s="12" t="s">
        <v>142</v>
      </c>
      <c r="F23" s="6"/>
      <c r="G23" s="6"/>
      <c r="H23" s="6"/>
    </row>
    <row r="24" ht="66.0" customHeight="1">
      <c r="A24" s="9" t="s">
        <v>143</v>
      </c>
      <c r="B24" s="9" t="s">
        <v>144</v>
      </c>
      <c r="C24" s="9" t="s">
        <v>145</v>
      </c>
      <c r="D24" s="9" t="s">
        <v>146</v>
      </c>
      <c r="E24" s="9" t="s">
        <v>148</v>
      </c>
      <c r="F24" s="6"/>
      <c r="G24" s="6"/>
      <c r="H24" s="6"/>
    </row>
    <row r="25" ht="66.0" customHeight="1">
      <c r="A25" s="9" t="s">
        <v>149</v>
      </c>
      <c r="B25" s="9" t="s">
        <v>150</v>
      </c>
      <c r="C25" s="9" t="s">
        <v>151</v>
      </c>
      <c r="D25" s="9" t="s">
        <v>152</v>
      </c>
      <c r="E25" s="9" t="s">
        <v>153</v>
      </c>
      <c r="F25" s="6"/>
      <c r="G25" s="6"/>
      <c r="H25" s="6"/>
    </row>
    <row r="26" ht="66.0" customHeight="1">
      <c r="A26" s="9" t="s">
        <v>155</v>
      </c>
      <c r="B26" s="9" t="s">
        <v>156</v>
      </c>
      <c r="C26" s="9" t="s">
        <v>158</v>
      </c>
      <c r="D26" s="9" t="s">
        <v>159</v>
      </c>
      <c r="E26" s="9" t="s">
        <v>160</v>
      </c>
      <c r="F26" s="6"/>
      <c r="G26" s="6"/>
      <c r="H26" s="6"/>
    </row>
    <row r="27" ht="66.0" customHeight="1">
      <c r="A27" s="9" t="s">
        <v>161</v>
      </c>
      <c r="B27" s="9" t="s">
        <v>162</v>
      </c>
      <c r="C27" s="9" t="s">
        <v>158</v>
      </c>
      <c r="D27" s="9" t="s">
        <v>164</v>
      </c>
      <c r="E27" s="9" t="s">
        <v>165</v>
      </c>
      <c r="F27" s="6"/>
      <c r="G27" s="6"/>
      <c r="H27" s="6"/>
    </row>
    <row r="28" ht="66.0" customHeight="1">
      <c r="A28" s="9" t="s">
        <v>166</v>
      </c>
      <c r="B28" s="9" t="s">
        <v>167</v>
      </c>
      <c r="C28" s="9" t="s">
        <v>168</v>
      </c>
      <c r="D28" s="9" t="s">
        <v>169</v>
      </c>
      <c r="E28" s="9" t="s">
        <v>170</v>
      </c>
      <c r="F28" s="6"/>
      <c r="G28" s="6"/>
      <c r="H28" s="6"/>
    </row>
    <row r="29">
      <c r="A29" s="14"/>
      <c r="B29" s="14"/>
      <c r="C29" s="14"/>
      <c r="D29" s="14"/>
      <c r="E29" s="14"/>
      <c r="F29" s="6"/>
      <c r="G29" s="6"/>
      <c r="H29" s="6"/>
    </row>
    <row r="30">
      <c r="A30" s="12" t="s">
        <v>173</v>
      </c>
      <c r="F30" s="6"/>
      <c r="G30" s="6"/>
      <c r="H30" s="6"/>
    </row>
    <row r="31">
      <c r="A31" s="12" t="s">
        <v>29</v>
      </c>
      <c r="B31" s="12" t="s">
        <v>177</v>
      </c>
      <c r="C31" s="12" t="s">
        <v>180</v>
      </c>
      <c r="D31" s="12" t="s">
        <v>181</v>
      </c>
      <c r="E31" s="12" t="s">
        <v>182</v>
      </c>
      <c r="F31" s="6"/>
      <c r="G31" s="6"/>
      <c r="H31" s="6"/>
    </row>
    <row r="32">
      <c r="A32" s="9" t="s">
        <v>186</v>
      </c>
      <c r="B32" s="9">
        <v>71.0</v>
      </c>
      <c r="C32" s="9">
        <v>19.0</v>
      </c>
      <c r="D32" s="14">
        <f t="shared" ref="D32:D33" si="1">B32-C32</f>
        <v>52</v>
      </c>
      <c r="E32" s="9" t="s">
        <v>205</v>
      </c>
      <c r="F32" s="6"/>
      <c r="G32" s="6"/>
      <c r="H32" s="6"/>
    </row>
    <row r="33">
      <c r="A33" s="9" t="s">
        <v>206</v>
      </c>
      <c r="B33" s="9">
        <v>71.0</v>
      </c>
      <c r="C33" s="9">
        <v>12.0</v>
      </c>
      <c r="D33" s="14">
        <f t="shared" si="1"/>
        <v>59</v>
      </c>
      <c r="E33" s="9" t="s">
        <v>207</v>
      </c>
      <c r="F33" s="6"/>
      <c r="G33" s="6"/>
      <c r="H33" s="6"/>
    </row>
    <row r="34">
      <c r="A34" s="9" t="s">
        <v>208</v>
      </c>
      <c r="B34" s="9">
        <v>88.0</v>
      </c>
      <c r="C34" s="9">
        <v>93.0</v>
      </c>
      <c r="D34" s="14">
        <f>C34-B34</f>
        <v>5</v>
      </c>
      <c r="E34" s="9" t="s">
        <v>209</v>
      </c>
      <c r="F34" s="6"/>
      <c r="G34" s="6"/>
      <c r="H34" s="6"/>
    </row>
    <row r="35">
      <c r="A35" s="9" t="s">
        <v>210</v>
      </c>
      <c r="B35" s="9">
        <v>19.0</v>
      </c>
      <c r="C35" s="9">
        <v>14.0</v>
      </c>
      <c r="D35" s="14">
        <f>B35+C35</f>
        <v>33</v>
      </c>
      <c r="E35" s="9" t="s">
        <v>211</v>
      </c>
      <c r="F35" s="6"/>
      <c r="G35" s="6"/>
      <c r="H35" s="6"/>
    </row>
    <row r="36">
      <c r="A36" s="14"/>
      <c r="B36" s="14"/>
      <c r="C36" s="14"/>
      <c r="D36" s="14"/>
      <c r="E36" s="14"/>
      <c r="F36" s="6"/>
      <c r="G36" s="6"/>
      <c r="H36" s="6"/>
    </row>
    <row r="37" ht="54.0" customHeight="1">
      <c r="A37" s="9" t="s">
        <v>212</v>
      </c>
      <c r="B37" s="9" t="s">
        <v>213</v>
      </c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</sheetData>
  <mergeCells count="8">
    <mergeCell ref="A1:E1"/>
    <mergeCell ref="B2:E2"/>
    <mergeCell ref="B3:E3"/>
    <mergeCell ref="A5:E5"/>
    <mergeCell ref="A14:E14"/>
    <mergeCell ref="A22:E22"/>
    <mergeCell ref="A30:E30"/>
    <mergeCell ref="B37:E3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41.38"/>
    <col customWidth="1" min="3" max="3" width="48.88"/>
    <col customWidth="1" min="4" max="4" width="39.5"/>
    <col customWidth="1" min="5" max="5" width="50.13"/>
  </cols>
  <sheetData>
    <row r="1">
      <c r="A1" s="4" t="s">
        <v>214</v>
      </c>
    </row>
    <row r="2" ht="52.5" customHeight="1">
      <c r="A2" s="5" t="s">
        <v>5</v>
      </c>
      <c r="B2" s="5" t="s">
        <v>215</v>
      </c>
    </row>
    <row r="3" ht="52.5" customHeight="1">
      <c r="A3" s="5" t="s">
        <v>216</v>
      </c>
      <c r="B3" s="5" t="s">
        <v>217</v>
      </c>
    </row>
    <row r="4">
      <c r="A4" s="28"/>
      <c r="B4" s="28"/>
      <c r="C4" s="28"/>
      <c r="D4" s="28"/>
      <c r="E4" s="28"/>
    </row>
    <row r="5">
      <c r="A5" s="4" t="s">
        <v>219</v>
      </c>
    </row>
    <row r="6">
      <c r="A6" s="4" t="s">
        <v>220</v>
      </c>
      <c r="B6" s="4" t="s">
        <v>221</v>
      </c>
      <c r="C6" s="4" t="s">
        <v>222</v>
      </c>
      <c r="D6" s="4" t="s">
        <v>223</v>
      </c>
      <c r="E6" s="4" t="s">
        <v>224</v>
      </c>
    </row>
    <row r="7" ht="57.75" customHeight="1">
      <c r="A7" s="30" t="s">
        <v>225</v>
      </c>
      <c r="B7" s="30" t="s">
        <v>226</v>
      </c>
      <c r="C7" s="30" t="s">
        <v>227</v>
      </c>
      <c r="D7" s="30" t="s">
        <v>229</v>
      </c>
      <c r="E7" s="30" t="s">
        <v>230</v>
      </c>
    </row>
    <row r="8" ht="57.75" customHeight="1">
      <c r="A8" s="30" t="s">
        <v>225</v>
      </c>
      <c r="B8" s="30" t="s">
        <v>231</v>
      </c>
      <c r="C8" s="30" t="s">
        <v>233</v>
      </c>
      <c r="D8" s="30" t="s">
        <v>234</v>
      </c>
      <c r="E8" s="30" t="s">
        <v>236</v>
      </c>
    </row>
    <row r="9" ht="57.75" customHeight="1">
      <c r="A9" s="30" t="s">
        <v>225</v>
      </c>
      <c r="B9" s="30" t="s">
        <v>237</v>
      </c>
      <c r="C9" s="30" t="s">
        <v>238</v>
      </c>
      <c r="D9" s="30" t="s">
        <v>239</v>
      </c>
      <c r="E9" s="30" t="s">
        <v>240</v>
      </c>
    </row>
    <row r="10" ht="57.75" customHeight="1">
      <c r="A10" s="5" t="s">
        <v>241</v>
      </c>
      <c r="B10" s="5" t="s">
        <v>242</v>
      </c>
      <c r="C10" s="5" t="s">
        <v>243</v>
      </c>
      <c r="D10" s="5" t="s">
        <v>244</v>
      </c>
      <c r="E10" s="5" t="s">
        <v>246</v>
      </c>
    </row>
    <row r="11" ht="57.75" customHeight="1">
      <c r="A11" s="5" t="s">
        <v>241</v>
      </c>
      <c r="B11" s="5" t="s">
        <v>247</v>
      </c>
      <c r="C11" s="5" t="s">
        <v>248</v>
      </c>
      <c r="D11" s="5" t="s">
        <v>249</v>
      </c>
      <c r="E11" s="5" t="s">
        <v>250</v>
      </c>
    </row>
    <row r="12" ht="57.75" customHeight="1">
      <c r="A12" s="5" t="s">
        <v>241</v>
      </c>
      <c r="B12" s="5" t="s">
        <v>251</v>
      </c>
      <c r="C12" s="5" t="s">
        <v>253</v>
      </c>
      <c r="D12" s="5" t="s">
        <v>254</v>
      </c>
      <c r="E12" s="5" t="s">
        <v>256</v>
      </c>
    </row>
    <row r="13" ht="57.75" customHeight="1">
      <c r="A13" s="5" t="s">
        <v>241</v>
      </c>
      <c r="B13" s="5" t="s">
        <v>257</v>
      </c>
      <c r="C13" s="5" t="s">
        <v>258</v>
      </c>
      <c r="D13" s="5" t="s">
        <v>259</v>
      </c>
      <c r="E13" s="5" t="s">
        <v>260</v>
      </c>
    </row>
    <row r="14" ht="57.75" customHeight="1">
      <c r="A14" s="5" t="s">
        <v>261</v>
      </c>
      <c r="B14" s="5" t="s">
        <v>262</v>
      </c>
      <c r="C14" s="5" t="s">
        <v>263</v>
      </c>
      <c r="D14" s="5" t="s">
        <v>264</v>
      </c>
      <c r="E14" s="5" t="s">
        <v>265</v>
      </c>
    </row>
    <row r="15">
      <c r="A15" s="31"/>
    </row>
    <row r="16">
      <c r="A16" s="4" t="s">
        <v>266</v>
      </c>
      <c r="B16" s="31"/>
      <c r="C16" s="31"/>
      <c r="D16" s="31"/>
      <c r="E16" s="31"/>
    </row>
    <row r="17" ht="54.0" customHeight="1">
      <c r="A17" s="5" t="s">
        <v>267</v>
      </c>
      <c r="B17" s="5" t="s">
        <v>268</v>
      </c>
      <c r="C17" s="5" t="s">
        <v>269</v>
      </c>
      <c r="D17" s="5" t="s">
        <v>270</v>
      </c>
      <c r="E17" s="5" t="s">
        <v>271</v>
      </c>
    </row>
    <row r="18" ht="54.0" customHeight="1">
      <c r="A18" s="5" t="s">
        <v>267</v>
      </c>
      <c r="B18" s="5" t="s">
        <v>272</v>
      </c>
      <c r="C18" s="5" t="s">
        <v>273</v>
      </c>
      <c r="D18" s="5" t="s">
        <v>274</v>
      </c>
      <c r="E18" s="5" t="s">
        <v>275</v>
      </c>
    </row>
    <row r="19" ht="54.0" customHeight="1">
      <c r="A19" s="5" t="s">
        <v>267</v>
      </c>
      <c r="B19" s="5" t="s">
        <v>276</v>
      </c>
      <c r="C19" s="5" t="s">
        <v>277</v>
      </c>
      <c r="D19" s="5" t="s">
        <v>278</v>
      </c>
      <c r="E19" s="5" t="s">
        <v>279</v>
      </c>
    </row>
    <row r="20">
      <c r="A20" s="31"/>
    </row>
    <row r="21">
      <c r="A21" s="5" t="s">
        <v>280</v>
      </c>
      <c r="B21" s="28"/>
    </row>
    <row r="22" ht="45.75" customHeight="1">
      <c r="A22" s="5" t="s">
        <v>281</v>
      </c>
      <c r="B22" s="5" t="s">
        <v>282</v>
      </c>
    </row>
    <row r="23" ht="45.75" customHeight="1">
      <c r="A23" s="5" t="s">
        <v>283</v>
      </c>
      <c r="B23" s="5" t="s">
        <v>284</v>
      </c>
    </row>
    <row r="24" ht="45.75" customHeight="1">
      <c r="A24" s="5" t="s">
        <v>285</v>
      </c>
      <c r="B24" s="5" t="s">
        <v>286</v>
      </c>
    </row>
    <row r="25">
      <c r="A25" s="5" t="s">
        <v>287</v>
      </c>
      <c r="B25" s="5" t="s">
        <v>288</v>
      </c>
      <c r="C25" s="28"/>
      <c r="D25" s="28"/>
      <c r="E25" s="28"/>
    </row>
  </sheetData>
  <mergeCells count="10">
    <mergeCell ref="B22:E22"/>
    <mergeCell ref="B23:E23"/>
    <mergeCell ref="B24:E24"/>
    <mergeCell ref="A1:E1"/>
    <mergeCell ref="B2:E2"/>
    <mergeCell ref="B3:E3"/>
    <mergeCell ref="A5:E5"/>
    <mergeCell ref="A15:E15"/>
    <mergeCell ref="A20:E20"/>
    <mergeCell ref="B21:E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9.5"/>
    <col customWidth="1" min="3" max="3" width="85.75"/>
  </cols>
  <sheetData>
    <row r="1">
      <c r="A1" s="29" t="s">
        <v>218</v>
      </c>
      <c r="D1" s="6"/>
      <c r="E1" s="6"/>
      <c r="F1" s="6"/>
    </row>
    <row r="2" ht="51.75" customHeight="1">
      <c r="A2" s="9" t="s">
        <v>5</v>
      </c>
      <c r="B2" s="9" t="s">
        <v>228</v>
      </c>
      <c r="D2" s="6"/>
      <c r="E2" s="6"/>
      <c r="F2" s="6"/>
    </row>
    <row r="3" ht="51.75" customHeight="1">
      <c r="A3" s="9" t="s">
        <v>232</v>
      </c>
      <c r="B3" s="9" t="s">
        <v>235</v>
      </c>
      <c r="D3" s="6"/>
      <c r="E3" s="6"/>
      <c r="F3" s="6"/>
    </row>
    <row r="4">
      <c r="A4" s="14"/>
      <c r="B4" s="14"/>
      <c r="C4" s="14"/>
      <c r="D4" s="6"/>
      <c r="E4" s="6"/>
      <c r="F4" s="6"/>
    </row>
    <row r="5">
      <c r="A5" s="29" t="s">
        <v>245</v>
      </c>
      <c r="D5" s="6"/>
      <c r="E5" s="6"/>
      <c r="F5" s="6"/>
    </row>
    <row r="6">
      <c r="A6" s="29" t="s">
        <v>29</v>
      </c>
      <c r="B6" s="29" t="s">
        <v>30</v>
      </c>
      <c r="C6" s="29" t="s">
        <v>252</v>
      </c>
      <c r="D6" s="6"/>
      <c r="E6" s="6"/>
      <c r="F6" s="6"/>
    </row>
    <row r="7" ht="35.25" customHeight="1">
      <c r="A7" s="9" t="s">
        <v>255</v>
      </c>
      <c r="B7" s="32">
        <f>'S1 Q1 - rough notes'!B5</f>
        <v>960</v>
      </c>
      <c r="C7" s="9" t="s">
        <v>289</v>
      </c>
      <c r="D7" s="6"/>
      <c r="E7" s="6"/>
      <c r="F7" s="6"/>
    </row>
    <row r="8" ht="35.25" customHeight="1">
      <c r="A8" s="9" t="s">
        <v>290</v>
      </c>
      <c r="B8" s="32">
        <f>'S1 Q1 - rough notes'!B9</f>
        <v>536</v>
      </c>
      <c r="C8" s="9" t="s">
        <v>291</v>
      </c>
      <c r="D8" s="6"/>
      <c r="E8" s="6"/>
      <c r="F8" s="6"/>
    </row>
    <row r="9" ht="35.25" customHeight="1">
      <c r="A9" s="9" t="s">
        <v>292</v>
      </c>
      <c r="B9" s="13">
        <f>'S1 Q1 - rough notes'!C9</f>
        <v>0.5583333333</v>
      </c>
      <c r="C9" s="9" t="s">
        <v>293</v>
      </c>
      <c r="D9" s="6"/>
      <c r="E9" s="6"/>
      <c r="F9" s="6"/>
    </row>
    <row r="10" ht="35.25" customHeight="1">
      <c r="A10" s="9" t="s">
        <v>294</v>
      </c>
      <c r="B10" s="13">
        <f>'S1 Q2 - motion split'!D7</f>
        <v>0.4099462366</v>
      </c>
      <c r="C10" s="9" t="s">
        <v>295</v>
      </c>
      <c r="D10" s="6"/>
      <c r="E10" s="6"/>
      <c r="F10" s="6"/>
    </row>
    <row r="11" ht="35.25" customHeight="1">
      <c r="A11" s="9" t="s">
        <v>297</v>
      </c>
      <c r="B11" s="13">
        <f>'S1 Q2 - motion split'!E7</f>
        <v>0.5509259259</v>
      </c>
      <c r="C11" s="9" t="s">
        <v>299</v>
      </c>
      <c r="D11" s="6"/>
      <c r="E11" s="6"/>
      <c r="F11" s="6"/>
    </row>
    <row r="12" ht="35.25" customHeight="1">
      <c r="A12" s="9" t="s">
        <v>300</v>
      </c>
      <c r="B12" s="13">
        <f>'S1 Q2 - motion split'!B10</f>
        <v>0.8190298507</v>
      </c>
      <c r="C12" s="9" t="s">
        <v>303</v>
      </c>
      <c r="D12" s="6"/>
      <c r="E12" s="6"/>
      <c r="F12" s="6"/>
    </row>
    <row r="13" ht="35.25" customHeight="1">
      <c r="A13" s="9" t="s">
        <v>304</v>
      </c>
      <c r="B13" s="13">
        <f>'S1 Q2 - motion split'!D3</f>
        <v>0.72</v>
      </c>
      <c r="C13" s="9" t="s">
        <v>310</v>
      </c>
      <c r="D13" s="6"/>
      <c r="E13" s="6"/>
      <c r="F13" s="6"/>
    </row>
    <row r="14" ht="35.25" customHeight="1">
      <c r="A14" s="9" t="s">
        <v>313</v>
      </c>
      <c r="B14" s="13">
        <f>'S1 Q2 - motion split'!E3</f>
        <v>0.7142857143</v>
      </c>
      <c r="C14" s="9" t="s">
        <v>317</v>
      </c>
      <c r="D14" s="6"/>
      <c r="E14" s="6"/>
      <c r="F14" s="6"/>
    </row>
    <row r="15">
      <c r="A15" s="14"/>
      <c r="B15" s="14"/>
      <c r="C15" s="14"/>
      <c r="D15" s="6"/>
      <c r="E15" s="6"/>
      <c r="F15" s="6"/>
    </row>
    <row r="16">
      <c r="A16" s="29" t="s">
        <v>318</v>
      </c>
      <c r="D16" s="6"/>
      <c r="E16" s="6"/>
      <c r="F16" s="6"/>
    </row>
    <row r="17">
      <c r="A17" s="29" t="s">
        <v>321</v>
      </c>
      <c r="B17" s="29" t="s">
        <v>322</v>
      </c>
      <c r="C17" s="29" t="s">
        <v>103</v>
      </c>
      <c r="D17" s="6"/>
      <c r="E17" s="6"/>
      <c r="F17" s="6"/>
    </row>
    <row r="18" ht="48.0" customHeight="1">
      <c r="A18" s="9" t="s">
        <v>324</v>
      </c>
      <c r="B18" s="9" t="s">
        <v>328</v>
      </c>
      <c r="C18" s="9" t="s">
        <v>331</v>
      </c>
      <c r="D18" s="6"/>
      <c r="E18" s="6"/>
      <c r="F18" s="6"/>
    </row>
    <row r="19" ht="48.0" customHeight="1">
      <c r="A19" s="9" t="s">
        <v>335</v>
      </c>
      <c r="B19" s="9" t="s">
        <v>337</v>
      </c>
      <c r="C19" s="9" t="s">
        <v>338</v>
      </c>
      <c r="D19" s="6"/>
      <c r="E19" s="6"/>
      <c r="F19" s="6"/>
    </row>
    <row r="20" ht="48.0" customHeight="1">
      <c r="A20" s="9" t="s">
        <v>342</v>
      </c>
      <c r="B20" s="9" t="s">
        <v>344</v>
      </c>
      <c r="C20" s="9" t="s">
        <v>346</v>
      </c>
      <c r="D20" s="6"/>
      <c r="E20" s="6"/>
      <c r="F20" s="6"/>
    </row>
    <row r="21" ht="48.0" customHeight="1">
      <c r="A21" s="9" t="s">
        <v>348</v>
      </c>
      <c r="B21" s="9" t="s">
        <v>351</v>
      </c>
      <c r="C21" s="9" t="s">
        <v>354</v>
      </c>
      <c r="D21" s="6"/>
      <c r="E21" s="6"/>
      <c r="F21" s="6"/>
    </row>
    <row r="22" ht="43.5" customHeight="1">
      <c r="A22" s="37"/>
      <c r="B22" s="37"/>
      <c r="D22" s="6"/>
      <c r="E22" s="6"/>
      <c r="F22" s="6"/>
    </row>
    <row r="23" ht="48.75" customHeight="1">
      <c r="A23" s="29" t="s">
        <v>363</v>
      </c>
      <c r="B23" s="29" t="s">
        <v>366</v>
      </c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6"/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</sheetData>
  <mergeCells count="7">
    <mergeCell ref="A1:C1"/>
    <mergeCell ref="B2:C2"/>
    <mergeCell ref="B3:C3"/>
    <mergeCell ref="A5:C5"/>
    <mergeCell ref="A16:C16"/>
    <mergeCell ref="B22:C22"/>
    <mergeCell ref="B23:C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8.88"/>
    <col customWidth="1" min="3" max="3" width="45.75"/>
    <col customWidth="1" min="4" max="4" width="56.38"/>
    <col customWidth="1" min="5" max="5" width="57.63"/>
  </cols>
  <sheetData>
    <row r="1">
      <c r="A1" s="34" t="s">
        <v>298</v>
      </c>
      <c r="F1" s="6"/>
      <c r="G1" s="6"/>
      <c r="H1" s="6"/>
    </row>
    <row r="2" ht="57.75" customHeight="1">
      <c r="A2" s="9" t="s">
        <v>5</v>
      </c>
      <c r="B2" s="9" t="s">
        <v>305</v>
      </c>
      <c r="F2" s="6"/>
      <c r="G2" s="6"/>
      <c r="H2" s="6"/>
    </row>
    <row r="3" ht="57.75" customHeight="1">
      <c r="A3" s="9" t="s">
        <v>308</v>
      </c>
      <c r="B3" s="9" t="s">
        <v>311</v>
      </c>
      <c r="F3" s="6"/>
      <c r="G3" s="6"/>
      <c r="H3" s="6"/>
    </row>
    <row r="4">
      <c r="A4" s="14"/>
      <c r="B4" s="14"/>
      <c r="C4" s="14"/>
      <c r="D4" s="14"/>
      <c r="E4" s="14"/>
      <c r="F4" s="6"/>
      <c r="G4" s="6"/>
      <c r="H4" s="6"/>
    </row>
    <row r="5">
      <c r="A5" s="34" t="s">
        <v>319</v>
      </c>
      <c r="F5" s="6"/>
      <c r="G5" s="6"/>
      <c r="H5" s="6"/>
    </row>
    <row r="6">
      <c r="A6" s="34" t="s">
        <v>323</v>
      </c>
      <c r="B6" s="34" t="s">
        <v>326</v>
      </c>
      <c r="C6" s="34" t="s">
        <v>330</v>
      </c>
      <c r="D6" s="34" t="s">
        <v>333</v>
      </c>
      <c r="E6" s="34" t="s">
        <v>334</v>
      </c>
      <c r="F6" s="6"/>
      <c r="G6" s="6"/>
      <c r="H6" s="6"/>
    </row>
    <row r="7" ht="63.75" customHeight="1">
      <c r="A7" s="36" t="s">
        <v>340</v>
      </c>
      <c r="B7" s="9" t="s">
        <v>347</v>
      </c>
      <c r="C7" s="9" t="s">
        <v>349</v>
      </c>
      <c r="D7" s="9" t="s">
        <v>353</v>
      </c>
      <c r="E7" s="9" t="s">
        <v>356</v>
      </c>
      <c r="F7" s="6"/>
      <c r="G7" s="6"/>
      <c r="H7" s="6"/>
    </row>
    <row r="8" ht="63.75" customHeight="1">
      <c r="A8" s="38" t="s">
        <v>360</v>
      </c>
      <c r="B8" s="39" t="s">
        <v>365</v>
      </c>
      <c r="C8" s="39" t="s">
        <v>369</v>
      </c>
      <c r="D8" s="39" t="s">
        <v>372</v>
      </c>
      <c r="E8" s="39" t="s">
        <v>374</v>
      </c>
      <c r="F8" s="6"/>
      <c r="G8" s="6"/>
      <c r="H8" s="6"/>
    </row>
    <row r="9" ht="63.75" customHeight="1">
      <c r="A9" s="38" t="s">
        <v>375</v>
      </c>
      <c r="B9" s="39" t="s">
        <v>376</v>
      </c>
      <c r="C9" s="39" t="s">
        <v>377</v>
      </c>
      <c r="D9" s="39" t="s">
        <v>378</v>
      </c>
      <c r="E9" s="39" t="s">
        <v>379</v>
      </c>
      <c r="F9" s="6"/>
      <c r="G9" s="6"/>
      <c r="H9" s="6"/>
    </row>
    <row r="10" ht="63.75" customHeight="1">
      <c r="A10" s="36" t="s">
        <v>382</v>
      </c>
      <c r="B10" s="9" t="s">
        <v>383</v>
      </c>
      <c r="C10" s="9" t="s">
        <v>384</v>
      </c>
      <c r="D10" s="9" t="s">
        <v>385</v>
      </c>
      <c r="E10" s="9" t="s">
        <v>386</v>
      </c>
      <c r="F10" s="6"/>
      <c r="G10" s="6"/>
      <c r="H10" s="6"/>
    </row>
    <row r="11">
      <c r="A11" s="14"/>
      <c r="B11" s="14"/>
      <c r="C11" s="14"/>
      <c r="D11" s="14"/>
      <c r="E11" s="14"/>
      <c r="F11" s="6"/>
      <c r="G11" s="6"/>
      <c r="H11" s="6"/>
    </row>
    <row r="12">
      <c r="A12" s="34" t="s">
        <v>387</v>
      </c>
      <c r="F12" s="6"/>
      <c r="G12" s="6"/>
      <c r="H12" s="6"/>
    </row>
    <row r="13">
      <c r="A13" s="34" t="s">
        <v>29</v>
      </c>
      <c r="B13" s="34" t="s">
        <v>30</v>
      </c>
      <c r="C13" s="34" t="s">
        <v>182</v>
      </c>
      <c r="D13" s="41"/>
      <c r="E13" s="41"/>
      <c r="F13" s="6"/>
      <c r="G13" s="6"/>
      <c r="H13" s="6"/>
    </row>
    <row r="14" ht="40.5" customHeight="1">
      <c r="A14" s="9" t="s">
        <v>255</v>
      </c>
      <c r="B14" s="14">
        <f>'S1 Q1 - rough notes'!B5</f>
        <v>960</v>
      </c>
      <c r="C14" s="9" t="s">
        <v>396</v>
      </c>
      <c r="D14" s="14"/>
      <c r="E14" s="14"/>
      <c r="F14" s="6"/>
      <c r="G14" s="6"/>
      <c r="H14" s="6"/>
    </row>
    <row r="15" ht="40.5" customHeight="1">
      <c r="A15" s="9" t="s">
        <v>397</v>
      </c>
      <c r="B15" s="14">
        <f>'S1 Q1 - rough notes'!B9</f>
        <v>536</v>
      </c>
      <c r="C15" s="9" t="s">
        <v>398</v>
      </c>
      <c r="D15" s="14"/>
      <c r="E15" s="14"/>
      <c r="F15" s="6"/>
      <c r="G15" s="6"/>
      <c r="H15" s="6"/>
    </row>
    <row r="16" ht="40.5" customHeight="1">
      <c r="A16" s="9" t="s">
        <v>399</v>
      </c>
      <c r="B16" s="13">
        <f>'S1 Q1 - rough notes'!C9</f>
        <v>0.5583333333</v>
      </c>
      <c r="C16" s="9" t="s">
        <v>400</v>
      </c>
      <c r="D16" s="14"/>
      <c r="E16" s="14"/>
      <c r="F16" s="6"/>
      <c r="G16" s="6"/>
      <c r="H16" s="6"/>
    </row>
    <row r="17" ht="40.5" customHeight="1">
      <c r="A17" s="9" t="s">
        <v>401</v>
      </c>
      <c r="B17" s="13">
        <f>'S1 Q2 - motion split'!D7</f>
        <v>0.4099462366</v>
      </c>
      <c r="C17" s="9" t="s">
        <v>402</v>
      </c>
      <c r="D17" s="14"/>
      <c r="E17" s="14"/>
      <c r="F17" s="6"/>
      <c r="G17" s="6"/>
      <c r="H17" s="6"/>
    </row>
    <row r="18" ht="40.5" customHeight="1">
      <c r="A18" s="9" t="s">
        <v>403</v>
      </c>
      <c r="B18" s="13">
        <f>'S1 Q2 - motion split'!E7</f>
        <v>0.5509259259</v>
      </c>
      <c r="C18" s="9" t="s">
        <v>408</v>
      </c>
      <c r="D18" s="14"/>
      <c r="E18" s="14"/>
      <c r="F18" s="6"/>
      <c r="G18" s="6"/>
      <c r="H18" s="6"/>
    </row>
    <row r="19">
      <c r="A19" s="14"/>
      <c r="B19" s="14"/>
      <c r="C19" s="14"/>
      <c r="D19" s="14"/>
      <c r="E19" s="14"/>
      <c r="F19" s="6"/>
      <c r="G19" s="6"/>
      <c r="H19" s="6"/>
    </row>
    <row r="20">
      <c r="A20" s="34" t="s">
        <v>413</v>
      </c>
      <c r="F20" s="6"/>
      <c r="G20" s="6"/>
      <c r="H20" s="6"/>
    </row>
    <row r="21">
      <c r="A21" s="34" t="s">
        <v>5</v>
      </c>
      <c r="B21" s="34" t="s">
        <v>321</v>
      </c>
      <c r="C21" s="34" t="s">
        <v>308</v>
      </c>
      <c r="D21" s="41"/>
      <c r="E21" s="41"/>
      <c r="F21" s="6"/>
      <c r="G21" s="6"/>
      <c r="H21" s="6"/>
    </row>
    <row r="22" ht="63.0" customHeight="1">
      <c r="A22" s="9" t="s">
        <v>420</v>
      </c>
      <c r="B22" s="9" t="s">
        <v>421</v>
      </c>
      <c r="C22" s="9" t="s">
        <v>423</v>
      </c>
      <c r="D22" s="14"/>
      <c r="E22" s="14"/>
      <c r="F22" s="6"/>
      <c r="G22" s="6"/>
      <c r="H22" s="6"/>
    </row>
    <row r="23" ht="63.0" customHeight="1">
      <c r="A23" s="9" t="s">
        <v>427</v>
      </c>
      <c r="B23" s="9" t="s">
        <v>429</v>
      </c>
      <c r="C23" s="9" t="s">
        <v>431</v>
      </c>
      <c r="D23" s="14"/>
      <c r="E23" s="14"/>
      <c r="F23" s="6"/>
      <c r="G23" s="6"/>
      <c r="H23" s="6"/>
    </row>
    <row r="24" ht="63.0" customHeight="1">
      <c r="A24" s="9" t="s">
        <v>434</v>
      </c>
      <c r="B24" s="9" t="s">
        <v>436</v>
      </c>
      <c r="C24" s="9" t="s">
        <v>437</v>
      </c>
      <c r="D24" s="14"/>
      <c r="E24" s="14"/>
      <c r="F24" s="6"/>
      <c r="G24" s="6"/>
      <c r="H24" s="6"/>
    </row>
    <row r="25" ht="63.0" customHeight="1">
      <c r="A25" s="9" t="s">
        <v>440</v>
      </c>
      <c r="B25" s="9" t="s">
        <v>442</v>
      </c>
      <c r="C25" s="9" t="s">
        <v>443</v>
      </c>
      <c r="D25" s="14"/>
      <c r="E25" s="14"/>
      <c r="F25" s="6"/>
      <c r="G25" s="6"/>
      <c r="H25" s="6"/>
    </row>
    <row r="26">
      <c r="A26" s="14"/>
      <c r="B26" s="14"/>
      <c r="C26" s="14"/>
      <c r="D26" s="14"/>
      <c r="E26" s="14"/>
      <c r="F26" s="6"/>
      <c r="G26" s="6"/>
      <c r="H26" s="6"/>
    </row>
    <row r="27">
      <c r="A27" s="34" t="s">
        <v>448</v>
      </c>
      <c r="F27" s="6"/>
      <c r="G27" s="6"/>
      <c r="H27" s="6"/>
    </row>
    <row r="28" ht="52.5" customHeight="1">
      <c r="A28" s="9" t="s">
        <v>454</v>
      </c>
      <c r="B28" s="9" t="s">
        <v>456</v>
      </c>
      <c r="F28" s="6"/>
      <c r="G28" s="6"/>
      <c r="H28" s="6"/>
    </row>
    <row r="29" ht="52.5" customHeight="1">
      <c r="A29" s="9" t="s">
        <v>461</v>
      </c>
      <c r="B29" s="9" t="s">
        <v>463</v>
      </c>
      <c r="F29" s="6"/>
      <c r="G29" s="6"/>
      <c r="H29" s="6"/>
    </row>
    <row r="30" ht="52.5" customHeight="1">
      <c r="A30" s="9" t="s">
        <v>464</v>
      </c>
      <c r="B30" s="9" t="s">
        <v>474</v>
      </c>
      <c r="F30" s="6"/>
      <c r="G30" s="6"/>
      <c r="H30" s="6"/>
    </row>
    <row r="31">
      <c r="A31" s="6"/>
      <c r="B31" s="6"/>
      <c r="C31" s="6"/>
      <c r="D31" s="6"/>
      <c r="E31" s="6"/>
      <c r="F31" s="6"/>
      <c r="G31" s="6"/>
      <c r="H31" s="6"/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</sheetData>
  <mergeCells count="10">
    <mergeCell ref="B28:E28"/>
    <mergeCell ref="B29:E29"/>
    <mergeCell ref="B30:E30"/>
    <mergeCell ref="A1:E1"/>
    <mergeCell ref="B2:E2"/>
    <mergeCell ref="B3:E3"/>
    <mergeCell ref="A5:E5"/>
    <mergeCell ref="A12:E12"/>
    <mergeCell ref="A20:E20"/>
    <mergeCell ref="A27:E2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44.5"/>
    <col customWidth="1" min="3" max="3" width="46.38"/>
    <col customWidth="1" min="4" max="4" width="37.63"/>
    <col customWidth="1" min="5" max="5" width="43.25"/>
  </cols>
  <sheetData>
    <row r="1">
      <c r="A1" s="33" t="s">
        <v>296</v>
      </c>
    </row>
    <row r="2" ht="55.5" customHeight="1">
      <c r="A2" s="5" t="s">
        <v>5</v>
      </c>
      <c r="B2" s="5" t="s">
        <v>301</v>
      </c>
    </row>
    <row r="3" ht="55.5" customHeight="1">
      <c r="A3" s="5" t="s">
        <v>49</v>
      </c>
      <c r="B3" s="5" t="s">
        <v>302</v>
      </c>
    </row>
    <row r="4">
      <c r="A4" s="28"/>
      <c r="B4" s="28"/>
      <c r="C4" s="28"/>
      <c r="D4" s="28"/>
      <c r="E4" s="28"/>
    </row>
    <row r="5">
      <c r="A5" s="33" t="s">
        <v>306</v>
      </c>
    </row>
    <row r="6" ht="45.0" customHeight="1">
      <c r="A6" s="5" t="s">
        <v>307</v>
      </c>
      <c r="B6" s="5" t="s">
        <v>309</v>
      </c>
      <c r="C6" s="28"/>
      <c r="D6" s="28"/>
      <c r="E6" s="28"/>
    </row>
    <row r="7" ht="45.0" customHeight="1">
      <c r="A7" s="5" t="s">
        <v>312</v>
      </c>
      <c r="B7" s="5" t="s">
        <v>314</v>
      </c>
      <c r="C7" s="28"/>
      <c r="D7" s="28"/>
      <c r="E7" s="28"/>
    </row>
    <row r="8" ht="45.0" customHeight="1">
      <c r="A8" s="5" t="s">
        <v>315</v>
      </c>
      <c r="B8" s="5" t="s">
        <v>316</v>
      </c>
      <c r="C8" s="28"/>
      <c r="D8" s="28"/>
      <c r="E8" s="28"/>
    </row>
    <row r="9">
      <c r="A9" s="35"/>
    </row>
    <row r="10">
      <c r="A10" s="33" t="s">
        <v>320</v>
      </c>
      <c r="B10" s="35"/>
      <c r="C10" s="35"/>
      <c r="D10" s="35"/>
      <c r="E10" s="35"/>
    </row>
    <row r="11" ht="73.5" customHeight="1">
      <c r="A11" s="5" t="s">
        <v>325</v>
      </c>
      <c r="B11" s="5" t="s">
        <v>327</v>
      </c>
      <c r="C11" s="5" t="s">
        <v>329</v>
      </c>
      <c r="D11" s="5" t="s">
        <v>332</v>
      </c>
      <c r="E11" s="5" t="s">
        <v>103</v>
      </c>
    </row>
    <row r="12" ht="73.5" customHeight="1">
      <c r="A12" s="5" t="s">
        <v>336</v>
      </c>
      <c r="B12" s="5" t="s">
        <v>339</v>
      </c>
      <c r="C12" s="5" t="s">
        <v>341</v>
      </c>
      <c r="D12" s="5" t="s">
        <v>343</v>
      </c>
      <c r="E12" s="5" t="s">
        <v>345</v>
      </c>
    </row>
    <row r="13" ht="73.5" customHeight="1">
      <c r="A13" s="5" t="s">
        <v>336</v>
      </c>
      <c r="B13" s="5" t="s">
        <v>350</v>
      </c>
      <c r="C13" s="5" t="s">
        <v>352</v>
      </c>
      <c r="D13" s="5" t="s">
        <v>355</v>
      </c>
      <c r="E13" s="5" t="s">
        <v>357</v>
      </c>
    </row>
    <row r="14" ht="73.5" customHeight="1">
      <c r="A14" s="5" t="s">
        <v>358</v>
      </c>
      <c r="B14" s="5" t="s">
        <v>359</v>
      </c>
      <c r="C14" s="5" t="s">
        <v>361</v>
      </c>
      <c r="D14" s="5" t="s">
        <v>362</v>
      </c>
      <c r="E14" s="5" t="s">
        <v>364</v>
      </c>
    </row>
    <row r="15">
      <c r="A15" s="5" t="s">
        <v>367</v>
      </c>
      <c r="B15" s="5" t="s">
        <v>368</v>
      </c>
      <c r="C15" s="5" t="s">
        <v>370</v>
      </c>
      <c r="D15" s="5" t="s">
        <v>371</v>
      </c>
      <c r="E15" s="5" t="s">
        <v>373</v>
      </c>
    </row>
    <row r="16">
      <c r="A16" s="35"/>
    </row>
    <row r="17">
      <c r="A17" s="33" t="s">
        <v>380</v>
      </c>
      <c r="B17" s="35"/>
      <c r="C17" s="35"/>
      <c r="D17" s="35"/>
      <c r="E17" s="35"/>
    </row>
    <row r="18" ht="46.5" customHeight="1">
      <c r="A18" s="5" t="s">
        <v>29</v>
      </c>
      <c r="B18" s="5" t="s">
        <v>30</v>
      </c>
      <c r="C18" s="5" t="s">
        <v>252</v>
      </c>
      <c r="D18" s="28"/>
      <c r="E18" s="28"/>
    </row>
    <row r="19" ht="46.5" customHeight="1">
      <c r="A19" s="5" t="s">
        <v>381</v>
      </c>
      <c r="B19" s="40">
        <f>'S1 Q1 - rough notes'!C6</f>
        <v>0.4416666667</v>
      </c>
      <c r="C19" s="5" t="s">
        <v>388</v>
      </c>
      <c r="D19" s="28"/>
      <c r="E19" s="28"/>
    </row>
    <row r="20" ht="46.5" customHeight="1">
      <c r="A20" s="5" t="s">
        <v>389</v>
      </c>
      <c r="B20" s="40">
        <f>'S1 Q2 - motion split'!D7</f>
        <v>0.4099462366</v>
      </c>
      <c r="C20" s="5" t="s">
        <v>390</v>
      </c>
      <c r="D20" s="28"/>
      <c r="E20" s="28"/>
    </row>
    <row r="21">
      <c r="A21" s="5" t="s">
        <v>391</v>
      </c>
      <c r="B21" s="5" t="s">
        <v>392</v>
      </c>
      <c r="C21" s="5" t="s">
        <v>393</v>
      </c>
      <c r="D21" s="28"/>
      <c r="E21" s="28"/>
    </row>
    <row r="22" ht="56.25" customHeight="1">
      <c r="A22" s="35"/>
      <c r="B22" s="35"/>
    </row>
    <row r="23">
      <c r="A23" s="5" t="s">
        <v>394</v>
      </c>
      <c r="B23" s="5" t="s">
        <v>395</v>
      </c>
      <c r="C23" s="28"/>
      <c r="D23" s="28"/>
      <c r="E23" s="28"/>
    </row>
  </sheetData>
  <mergeCells count="7">
    <mergeCell ref="A1:E1"/>
    <mergeCell ref="B2:E2"/>
    <mergeCell ref="B3:E3"/>
    <mergeCell ref="A5:E5"/>
    <mergeCell ref="A9:E9"/>
    <mergeCell ref="A16:E16"/>
    <mergeCell ref="B22:E2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88"/>
    <col customWidth="1" min="2" max="2" width="50.75"/>
    <col customWidth="1" min="3" max="3" width="49.5"/>
    <col customWidth="1" min="4" max="4" width="28.25"/>
    <col customWidth="1" min="5" max="5" width="48.25"/>
  </cols>
  <sheetData>
    <row r="1">
      <c r="A1" s="3" t="s">
        <v>404</v>
      </c>
      <c r="F1" s="6"/>
      <c r="G1" s="6"/>
      <c r="H1" s="6"/>
    </row>
    <row r="2" ht="54.0" customHeight="1">
      <c r="A2" s="9" t="s">
        <v>406</v>
      </c>
      <c r="B2" s="9" t="s">
        <v>407</v>
      </c>
      <c r="F2" s="6"/>
      <c r="G2" s="6"/>
      <c r="H2" s="6"/>
    </row>
    <row r="3" ht="54.0" customHeight="1">
      <c r="A3" s="9" t="s">
        <v>409</v>
      </c>
      <c r="B3" s="9" t="s">
        <v>410</v>
      </c>
      <c r="F3" s="6"/>
      <c r="G3" s="6"/>
      <c r="H3" s="6"/>
    </row>
    <row r="4">
      <c r="A4" s="14"/>
      <c r="B4" s="14"/>
      <c r="C4" s="14"/>
      <c r="D4" s="14"/>
      <c r="E4" s="14"/>
      <c r="F4" s="6"/>
      <c r="G4" s="6"/>
      <c r="H4" s="6"/>
    </row>
    <row r="5">
      <c r="A5" s="3" t="s">
        <v>415</v>
      </c>
      <c r="F5" s="6"/>
      <c r="G5" s="6"/>
      <c r="H5" s="6"/>
    </row>
    <row r="6">
      <c r="A6" s="18" t="s">
        <v>29</v>
      </c>
      <c r="B6" s="18" t="s">
        <v>30</v>
      </c>
      <c r="C6" s="18" t="s">
        <v>416</v>
      </c>
      <c r="D6" s="18" t="s">
        <v>417</v>
      </c>
      <c r="E6" s="18" t="s">
        <v>252</v>
      </c>
      <c r="F6" s="6"/>
      <c r="G6" s="6"/>
      <c r="H6" s="6"/>
    </row>
    <row r="7">
      <c r="A7" s="42" t="s">
        <v>419</v>
      </c>
      <c r="B7" s="43">
        <f>'S1 Q2 - motion split'!D7</f>
        <v>0.4099462366</v>
      </c>
      <c r="C7" s="42" t="s">
        <v>445</v>
      </c>
      <c r="D7" s="42" t="s">
        <v>281</v>
      </c>
      <c r="E7" s="42" t="s">
        <v>447</v>
      </c>
      <c r="F7" s="6"/>
      <c r="G7" s="6"/>
      <c r="H7" s="6"/>
    </row>
    <row r="8">
      <c r="A8" s="42" t="s">
        <v>450</v>
      </c>
      <c r="B8" s="44">
        <v>0.46</v>
      </c>
      <c r="C8" s="42" t="s">
        <v>457</v>
      </c>
      <c r="D8" s="42" t="s">
        <v>458</v>
      </c>
      <c r="E8" s="42" t="s">
        <v>459</v>
      </c>
      <c r="F8" s="6"/>
      <c r="G8" s="6"/>
      <c r="H8" s="6"/>
    </row>
    <row r="9">
      <c r="A9" s="42" t="s">
        <v>460</v>
      </c>
      <c r="B9" s="45">
        <f>(B8-B7)*100</f>
        <v>5.005376344</v>
      </c>
      <c r="C9" s="42" t="s">
        <v>465</v>
      </c>
      <c r="D9" s="42" t="s">
        <v>466</v>
      </c>
      <c r="E9" s="42" t="s">
        <v>467</v>
      </c>
      <c r="F9" s="6"/>
      <c r="G9" s="6"/>
      <c r="H9" s="6"/>
    </row>
    <row r="10">
      <c r="A10" s="9" t="s">
        <v>468</v>
      </c>
      <c r="B10" s="13">
        <f>'S1 Q2 - motion split'!E7</f>
        <v>0.5509259259</v>
      </c>
      <c r="C10" s="9" t="s">
        <v>471</v>
      </c>
      <c r="D10" s="9" t="s">
        <v>281</v>
      </c>
      <c r="E10" s="9" t="s">
        <v>472</v>
      </c>
      <c r="F10" s="6"/>
      <c r="G10" s="6"/>
      <c r="H10" s="6"/>
    </row>
    <row r="11">
      <c r="A11" s="9" t="s">
        <v>473</v>
      </c>
      <c r="B11" s="14">
        <f>19+14</f>
        <v>33</v>
      </c>
      <c r="C11" s="9" t="s">
        <v>475</v>
      </c>
      <c r="D11" s="9" t="s">
        <v>476</v>
      </c>
      <c r="E11" s="9" t="s">
        <v>477</v>
      </c>
      <c r="F11" s="6"/>
      <c r="G11" s="6"/>
      <c r="H11" s="6"/>
    </row>
    <row r="12">
      <c r="A12" s="9" t="s">
        <v>478</v>
      </c>
      <c r="B12" s="14">
        <f>71-B11</f>
        <v>38</v>
      </c>
      <c r="C12" s="9" t="s">
        <v>479</v>
      </c>
      <c r="D12" s="9" t="s">
        <v>476</v>
      </c>
      <c r="E12" s="9" t="s">
        <v>480</v>
      </c>
      <c r="F12" s="6"/>
      <c r="G12" s="6"/>
      <c r="H12" s="6"/>
    </row>
    <row r="13">
      <c r="A13" s="14"/>
      <c r="B13" s="14"/>
      <c r="C13" s="14"/>
      <c r="D13" s="14"/>
      <c r="E13" s="14"/>
      <c r="F13" s="6"/>
      <c r="G13" s="6"/>
      <c r="H13" s="6"/>
    </row>
    <row r="14">
      <c r="A14" s="3" t="s">
        <v>482</v>
      </c>
      <c r="F14" s="6"/>
      <c r="G14" s="6"/>
      <c r="H14" s="6"/>
    </row>
    <row r="15">
      <c r="A15" s="18" t="s">
        <v>483</v>
      </c>
      <c r="B15" s="18" t="s">
        <v>485</v>
      </c>
      <c r="C15" s="18" t="s">
        <v>61</v>
      </c>
      <c r="D15" s="18" t="s">
        <v>486</v>
      </c>
      <c r="E15" s="18" t="s">
        <v>487</v>
      </c>
      <c r="F15" s="6"/>
      <c r="G15" s="6"/>
      <c r="H15" s="6"/>
    </row>
    <row r="16" ht="51.75" customHeight="1">
      <c r="A16" s="9" t="s">
        <v>488</v>
      </c>
      <c r="B16" s="9" t="s">
        <v>489</v>
      </c>
      <c r="C16" s="9" t="s">
        <v>67</v>
      </c>
      <c r="D16" s="9" t="s">
        <v>490</v>
      </c>
      <c r="E16" s="9" t="s">
        <v>491</v>
      </c>
      <c r="F16" s="6"/>
      <c r="G16" s="6"/>
      <c r="H16" s="6"/>
    </row>
    <row r="17" ht="51.75" customHeight="1">
      <c r="A17" s="9" t="s">
        <v>492</v>
      </c>
      <c r="B17" s="9" t="s">
        <v>493</v>
      </c>
      <c r="C17" s="9" t="s">
        <v>67</v>
      </c>
      <c r="D17" s="9" t="s">
        <v>490</v>
      </c>
      <c r="E17" s="9" t="s">
        <v>494</v>
      </c>
      <c r="F17" s="6"/>
      <c r="G17" s="6"/>
      <c r="H17" s="6"/>
    </row>
    <row r="18" ht="51.75" customHeight="1">
      <c r="A18" s="9" t="s">
        <v>495</v>
      </c>
      <c r="B18" s="9" t="s">
        <v>496</v>
      </c>
      <c r="C18" s="9" t="s">
        <v>497</v>
      </c>
      <c r="D18" s="9" t="s">
        <v>490</v>
      </c>
      <c r="E18" s="9" t="s">
        <v>498</v>
      </c>
      <c r="F18" s="6"/>
      <c r="G18" s="6"/>
      <c r="H18" s="6"/>
    </row>
    <row r="19" ht="51.75" customHeight="1">
      <c r="A19" s="9" t="s">
        <v>499</v>
      </c>
      <c r="B19" s="9" t="s">
        <v>500</v>
      </c>
      <c r="C19" s="9" t="s">
        <v>497</v>
      </c>
      <c r="D19" s="9" t="s">
        <v>490</v>
      </c>
      <c r="E19" s="9" t="s">
        <v>501</v>
      </c>
      <c r="F19" s="6"/>
      <c r="G19" s="6"/>
      <c r="H19" s="6"/>
    </row>
    <row r="20" ht="51.75" customHeight="1">
      <c r="A20" s="9" t="s">
        <v>502</v>
      </c>
      <c r="B20" s="9" t="s">
        <v>503</v>
      </c>
      <c r="C20" s="9" t="s">
        <v>504</v>
      </c>
      <c r="D20" s="9" t="s">
        <v>490</v>
      </c>
      <c r="E20" s="9" t="s">
        <v>505</v>
      </c>
      <c r="F20" s="6"/>
      <c r="G20" s="6"/>
      <c r="H20" s="6"/>
    </row>
    <row r="21" ht="51.75" customHeight="1">
      <c r="A21" s="9" t="s">
        <v>506</v>
      </c>
      <c r="B21" s="9" t="s">
        <v>507</v>
      </c>
      <c r="C21" s="9" t="s">
        <v>508</v>
      </c>
      <c r="D21" s="9" t="s">
        <v>490</v>
      </c>
      <c r="E21" s="9" t="s">
        <v>509</v>
      </c>
      <c r="F21" s="6"/>
      <c r="G21" s="6"/>
      <c r="H21" s="6"/>
    </row>
    <row r="22" ht="51.75" customHeight="1">
      <c r="A22" s="9" t="s">
        <v>510</v>
      </c>
      <c r="B22" s="9" t="s">
        <v>511</v>
      </c>
      <c r="C22" s="9" t="s">
        <v>512</v>
      </c>
      <c r="D22" s="9" t="s">
        <v>490</v>
      </c>
      <c r="E22" s="9" t="s">
        <v>513</v>
      </c>
      <c r="F22" s="6"/>
      <c r="G22" s="6"/>
      <c r="H22" s="6"/>
    </row>
    <row r="23" ht="51.75" customHeight="1">
      <c r="A23" s="9" t="s">
        <v>514</v>
      </c>
      <c r="B23" s="9" t="s">
        <v>515</v>
      </c>
      <c r="C23" s="9" t="s">
        <v>516</v>
      </c>
      <c r="D23" s="9" t="s">
        <v>490</v>
      </c>
      <c r="E23" s="9" t="s">
        <v>517</v>
      </c>
      <c r="F23" s="6"/>
      <c r="G23" s="6"/>
      <c r="H23" s="6"/>
    </row>
    <row r="24" ht="51.75" customHeight="1">
      <c r="A24" s="9" t="s">
        <v>518</v>
      </c>
      <c r="B24" s="9" t="s">
        <v>519</v>
      </c>
      <c r="C24" s="9" t="s">
        <v>520</v>
      </c>
      <c r="D24" s="9" t="s">
        <v>490</v>
      </c>
      <c r="E24" s="9" t="s">
        <v>521</v>
      </c>
      <c r="F24" s="6"/>
      <c r="G24" s="6"/>
      <c r="H24" s="6"/>
    </row>
    <row r="25">
      <c r="A25" s="14"/>
      <c r="B25" s="14"/>
      <c r="C25" s="14"/>
      <c r="D25" s="14"/>
      <c r="E25" s="14"/>
      <c r="F25" s="6"/>
      <c r="G25" s="6"/>
      <c r="H25" s="6"/>
    </row>
    <row r="26">
      <c r="A26" s="3" t="s">
        <v>522</v>
      </c>
      <c r="F26" s="6"/>
      <c r="G26" s="6"/>
      <c r="H26" s="6"/>
    </row>
    <row r="27">
      <c r="A27" s="18" t="s">
        <v>523</v>
      </c>
      <c r="B27" s="18" t="s">
        <v>524</v>
      </c>
      <c r="C27" s="18" t="s">
        <v>525</v>
      </c>
      <c r="D27" s="18" t="s">
        <v>526</v>
      </c>
      <c r="E27" s="18" t="s">
        <v>103</v>
      </c>
      <c r="F27" s="6"/>
      <c r="G27" s="6"/>
      <c r="H27" s="6"/>
    </row>
    <row r="28" ht="55.5" customHeight="1">
      <c r="A28" s="9" t="s">
        <v>527</v>
      </c>
      <c r="B28" s="9" t="s">
        <v>529</v>
      </c>
      <c r="C28" s="9" t="s">
        <v>530</v>
      </c>
      <c r="D28" s="9" t="s">
        <v>531</v>
      </c>
      <c r="E28" s="9" t="s">
        <v>532</v>
      </c>
      <c r="F28" s="6"/>
      <c r="G28" s="6"/>
      <c r="H28" s="6"/>
    </row>
    <row r="29" ht="55.5" customHeight="1">
      <c r="A29" s="9" t="s">
        <v>533</v>
      </c>
      <c r="B29" s="9" t="s">
        <v>535</v>
      </c>
      <c r="C29" s="9" t="s">
        <v>536</v>
      </c>
      <c r="D29" s="9" t="s">
        <v>537</v>
      </c>
      <c r="E29" s="9" t="s">
        <v>538</v>
      </c>
      <c r="F29" s="6"/>
      <c r="G29" s="6"/>
      <c r="H29" s="6"/>
    </row>
    <row r="30" ht="55.5" customHeight="1">
      <c r="A30" s="9" t="s">
        <v>539</v>
      </c>
      <c r="B30" s="9" t="s">
        <v>540</v>
      </c>
      <c r="C30" s="9" t="s">
        <v>541</v>
      </c>
      <c r="D30" s="9" t="s">
        <v>542</v>
      </c>
      <c r="E30" s="9" t="s">
        <v>543</v>
      </c>
      <c r="F30" s="6"/>
      <c r="G30" s="6"/>
      <c r="H30" s="6"/>
    </row>
    <row r="31" ht="55.5" customHeight="1">
      <c r="A31" s="9" t="s">
        <v>544</v>
      </c>
      <c r="B31" s="9" t="s">
        <v>545</v>
      </c>
      <c r="C31" s="9" t="s">
        <v>546</v>
      </c>
      <c r="D31" s="9" t="s">
        <v>547</v>
      </c>
      <c r="E31" s="9" t="s">
        <v>548</v>
      </c>
      <c r="F31" s="6"/>
      <c r="G31" s="6"/>
      <c r="H31" s="6"/>
    </row>
    <row r="32" ht="55.5" customHeight="1">
      <c r="A32" s="9" t="s">
        <v>549</v>
      </c>
      <c r="B32" s="9" t="s">
        <v>550</v>
      </c>
      <c r="C32" s="9" t="s">
        <v>551</v>
      </c>
      <c r="D32" s="9" t="s">
        <v>552</v>
      </c>
      <c r="E32" s="9" t="s">
        <v>553</v>
      </c>
      <c r="F32" s="6"/>
      <c r="G32" s="6"/>
      <c r="H32" s="6"/>
    </row>
    <row r="33" ht="55.5" customHeight="1">
      <c r="A33" s="14"/>
      <c r="B33" s="14"/>
      <c r="C33" s="14"/>
      <c r="D33" s="14"/>
      <c r="E33" s="14"/>
      <c r="F33" s="6"/>
      <c r="G33" s="6"/>
      <c r="H33" s="6"/>
    </row>
    <row r="34">
      <c r="A34" s="9" t="s">
        <v>554</v>
      </c>
      <c r="B34" s="14"/>
      <c r="C34" s="14"/>
      <c r="D34" s="14"/>
      <c r="E34" s="14"/>
      <c r="F34" s="6"/>
      <c r="G34" s="6"/>
      <c r="H34" s="6"/>
    </row>
    <row r="35">
      <c r="A35" s="18" t="s">
        <v>556</v>
      </c>
      <c r="B35" s="18" t="s">
        <v>557</v>
      </c>
      <c r="C35" s="18" t="s">
        <v>558</v>
      </c>
      <c r="D35" s="18" t="s">
        <v>326</v>
      </c>
      <c r="E35" s="18" t="s">
        <v>559</v>
      </c>
      <c r="F35" s="6"/>
      <c r="G35" s="6"/>
      <c r="H35" s="6"/>
    </row>
    <row r="36">
      <c r="A36" s="18" t="s">
        <v>560</v>
      </c>
      <c r="B36" s="18" t="s">
        <v>561</v>
      </c>
      <c r="C36" s="18" t="s">
        <v>563</v>
      </c>
      <c r="D36" s="18" t="s">
        <v>564</v>
      </c>
      <c r="E36" s="18" t="s">
        <v>565</v>
      </c>
      <c r="F36" s="6"/>
      <c r="G36" s="6"/>
      <c r="H36" s="6"/>
    </row>
    <row r="37" ht="61.5" customHeight="1">
      <c r="A37" s="9" t="s">
        <v>567</v>
      </c>
      <c r="B37" s="9" t="s">
        <v>568</v>
      </c>
      <c r="C37" s="9" t="s">
        <v>563</v>
      </c>
      <c r="D37" s="9" t="s">
        <v>569</v>
      </c>
      <c r="E37" s="9" t="s">
        <v>570</v>
      </c>
      <c r="F37" s="6"/>
      <c r="G37" s="6"/>
      <c r="H37" s="6"/>
    </row>
    <row r="38" ht="61.5" customHeight="1">
      <c r="A38" s="9" t="s">
        <v>571</v>
      </c>
      <c r="B38" s="9" t="s">
        <v>568</v>
      </c>
      <c r="C38" s="9" t="s">
        <v>563</v>
      </c>
      <c r="D38" s="9" t="s">
        <v>569</v>
      </c>
      <c r="E38" s="9" t="s">
        <v>572</v>
      </c>
      <c r="F38" s="6"/>
      <c r="G38" s="6"/>
      <c r="H38" s="6"/>
    </row>
    <row r="39" ht="61.5" customHeight="1">
      <c r="A39" s="9" t="s">
        <v>573</v>
      </c>
      <c r="B39" s="9" t="s">
        <v>575</v>
      </c>
      <c r="C39" s="9" t="s">
        <v>576</v>
      </c>
      <c r="D39" s="9" t="s">
        <v>577</v>
      </c>
      <c r="E39" s="9" t="s">
        <v>578</v>
      </c>
      <c r="F39" s="6"/>
      <c r="G39" s="6"/>
      <c r="H39" s="6"/>
    </row>
    <row r="40" ht="61.5" customHeight="1">
      <c r="A40" s="9" t="s">
        <v>579</v>
      </c>
      <c r="B40" s="9" t="s">
        <v>580</v>
      </c>
      <c r="C40" s="9" t="s">
        <v>581</v>
      </c>
      <c r="D40" s="9" t="s">
        <v>582</v>
      </c>
      <c r="E40" s="9" t="s">
        <v>583</v>
      </c>
      <c r="F40" s="6"/>
      <c r="G40" s="6"/>
      <c r="H40" s="6"/>
    </row>
    <row r="41" ht="61.5" customHeight="1">
      <c r="A41" s="9" t="s">
        <v>585</v>
      </c>
      <c r="B41" s="9" t="s">
        <v>586</v>
      </c>
      <c r="C41" s="9" t="s">
        <v>588</v>
      </c>
      <c r="D41" s="9" t="s">
        <v>589</v>
      </c>
      <c r="E41" s="9" t="s">
        <v>593</v>
      </c>
      <c r="F41" s="6"/>
      <c r="G41" s="6"/>
      <c r="H41" s="6"/>
    </row>
    <row r="42" ht="61.5" customHeight="1">
      <c r="A42" s="9" t="s">
        <v>594</v>
      </c>
      <c r="B42" s="9" t="s">
        <v>595</v>
      </c>
      <c r="C42" s="9" t="s">
        <v>597</v>
      </c>
      <c r="D42" s="9" t="s">
        <v>599</v>
      </c>
      <c r="E42" s="9" t="s">
        <v>601</v>
      </c>
      <c r="F42" s="6"/>
      <c r="G42" s="6"/>
      <c r="H42" s="6"/>
    </row>
    <row r="43" ht="61.5" customHeight="1">
      <c r="A43" s="14"/>
      <c r="B43" s="14"/>
      <c r="C43" s="14"/>
      <c r="D43" s="14"/>
      <c r="E43" s="14"/>
      <c r="F43" s="6"/>
      <c r="G43" s="6"/>
      <c r="H43" s="6"/>
    </row>
    <row r="44">
      <c r="A44" s="3" t="s">
        <v>604</v>
      </c>
      <c r="F44" s="6"/>
      <c r="G44" s="6"/>
      <c r="H44" s="6"/>
    </row>
    <row r="45">
      <c r="A45" s="9" t="s">
        <v>605</v>
      </c>
      <c r="B45" s="9" t="s">
        <v>606</v>
      </c>
      <c r="C45" s="9" t="s">
        <v>607</v>
      </c>
      <c r="D45" s="9" t="s">
        <v>608</v>
      </c>
      <c r="E45" s="9" t="s">
        <v>609</v>
      </c>
      <c r="F45" s="6"/>
      <c r="G45" s="6"/>
      <c r="H45" s="6"/>
    </row>
    <row r="46">
      <c r="A46" s="9" t="s">
        <v>610</v>
      </c>
      <c r="B46" s="9" t="s">
        <v>611</v>
      </c>
      <c r="C46" s="9" t="s">
        <v>612</v>
      </c>
      <c r="D46" s="9" t="s">
        <v>613</v>
      </c>
      <c r="E46" s="9" t="s">
        <v>614</v>
      </c>
      <c r="F46" s="6"/>
      <c r="G46" s="6"/>
      <c r="H46" s="6"/>
    </row>
    <row r="47">
      <c r="A47" s="9" t="s">
        <v>615</v>
      </c>
      <c r="B47" s="9" t="s">
        <v>616</v>
      </c>
      <c r="C47" s="9" t="s">
        <v>617</v>
      </c>
      <c r="D47" s="9" t="s">
        <v>618</v>
      </c>
      <c r="E47" s="9" t="s">
        <v>619</v>
      </c>
      <c r="F47" s="6"/>
      <c r="G47" s="6"/>
      <c r="H47" s="6"/>
    </row>
    <row r="48">
      <c r="A48" s="14"/>
      <c r="B48" s="14"/>
      <c r="C48" s="14"/>
      <c r="D48" s="14"/>
      <c r="E48" s="14"/>
      <c r="F48" s="6"/>
      <c r="G48" s="6"/>
      <c r="H48" s="6"/>
    </row>
    <row r="49">
      <c r="A49" s="3" t="s">
        <v>620</v>
      </c>
      <c r="F49" s="6"/>
      <c r="G49" s="6"/>
      <c r="H49" s="6"/>
    </row>
    <row r="50">
      <c r="A50" s="9" t="s">
        <v>621</v>
      </c>
      <c r="B50" s="9" t="s">
        <v>622</v>
      </c>
      <c r="C50" s="9" t="s">
        <v>623</v>
      </c>
      <c r="D50" s="9" t="s">
        <v>4</v>
      </c>
      <c r="E50" s="9" t="s">
        <v>624</v>
      </c>
      <c r="F50" s="6"/>
      <c r="G50" s="6"/>
      <c r="H50" s="6"/>
    </row>
    <row r="51">
      <c r="A51" s="9" t="s">
        <v>625</v>
      </c>
      <c r="B51" s="9" t="s">
        <v>626</v>
      </c>
      <c r="C51" s="9" t="s">
        <v>627</v>
      </c>
      <c r="D51" s="9" t="s">
        <v>4</v>
      </c>
      <c r="E51" s="9" t="s">
        <v>628</v>
      </c>
      <c r="F51" s="6"/>
      <c r="G51" s="6"/>
      <c r="H51" s="6"/>
    </row>
    <row r="52">
      <c r="A52" s="9" t="s">
        <v>629</v>
      </c>
      <c r="B52" s="9" t="s">
        <v>630</v>
      </c>
      <c r="C52" s="9" t="s">
        <v>631</v>
      </c>
      <c r="D52" s="9" t="s">
        <v>4</v>
      </c>
      <c r="E52" s="9" t="s">
        <v>632</v>
      </c>
      <c r="F52" s="6"/>
      <c r="G52" s="6"/>
      <c r="H52" s="6"/>
    </row>
    <row r="53">
      <c r="A53" s="14"/>
      <c r="B53" s="14"/>
      <c r="C53" s="14"/>
      <c r="D53" s="14"/>
      <c r="E53" s="14"/>
      <c r="F53" s="6"/>
      <c r="G53" s="6"/>
      <c r="H53" s="6"/>
    </row>
    <row r="54">
      <c r="A54" s="3" t="s">
        <v>633</v>
      </c>
      <c r="F54" s="6"/>
      <c r="G54" s="6"/>
      <c r="H54" s="6"/>
    </row>
    <row r="55">
      <c r="A55" s="18" t="s">
        <v>128</v>
      </c>
      <c r="B55" s="18" t="s">
        <v>634</v>
      </c>
      <c r="C55" s="18" t="s">
        <v>333</v>
      </c>
      <c r="D55" s="18" t="s">
        <v>635</v>
      </c>
      <c r="E55" s="18" t="s">
        <v>636</v>
      </c>
      <c r="F55" s="6"/>
      <c r="G55" s="6"/>
      <c r="H55" s="6"/>
    </row>
    <row r="56" ht="58.5" customHeight="1">
      <c r="A56" s="9" t="s">
        <v>336</v>
      </c>
      <c r="B56" s="9" t="s">
        <v>637</v>
      </c>
      <c r="C56" s="9" t="s">
        <v>638</v>
      </c>
      <c r="D56" s="9" t="s">
        <v>639</v>
      </c>
      <c r="E56" s="9" t="s">
        <v>640</v>
      </c>
      <c r="F56" s="6"/>
      <c r="G56" s="6"/>
      <c r="H56" s="6"/>
    </row>
    <row r="57" ht="58.5" customHeight="1">
      <c r="A57" s="9" t="s">
        <v>336</v>
      </c>
      <c r="B57" s="9" t="s">
        <v>641</v>
      </c>
      <c r="C57" s="9" t="s">
        <v>642</v>
      </c>
      <c r="D57" s="9" t="s">
        <v>643</v>
      </c>
      <c r="E57" s="9" t="s">
        <v>644</v>
      </c>
      <c r="F57" s="6"/>
      <c r="G57" s="6"/>
      <c r="H57" s="6"/>
    </row>
    <row r="58" ht="58.5" customHeight="1">
      <c r="A58" s="9" t="s">
        <v>645</v>
      </c>
      <c r="B58" s="9" t="s">
        <v>646</v>
      </c>
      <c r="C58" s="9" t="s">
        <v>647</v>
      </c>
      <c r="D58" s="9" t="s">
        <v>648</v>
      </c>
      <c r="E58" s="9" t="s">
        <v>649</v>
      </c>
      <c r="F58" s="6"/>
      <c r="G58" s="6"/>
      <c r="H58" s="6"/>
    </row>
    <row r="59" ht="58.5" customHeight="1">
      <c r="A59" s="9" t="s">
        <v>645</v>
      </c>
      <c r="B59" s="9" t="s">
        <v>650</v>
      </c>
      <c r="C59" s="9" t="s">
        <v>651</v>
      </c>
      <c r="D59" s="9" t="s">
        <v>652</v>
      </c>
      <c r="E59" s="9" t="s">
        <v>653</v>
      </c>
      <c r="F59" s="6"/>
      <c r="G59" s="6"/>
      <c r="H59" s="6"/>
    </row>
    <row r="60">
      <c r="A60" s="14"/>
      <c r="B60" s="14"/>
      <c r="F60" s="6"/>
      <c r="G60" s="6"/>
      <c r="H60" s="6"/>
    </row>
    <row r="61" ht="51.0" customHeight="1">
      <c r="A61" s="9" t="s">
        <v>654</v>
      </c>
      <c r="B61" s="9" t="s">
        <v>655</v>
      </c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</sheetData>
  <mergeCells count="11">
    <mergeCell ref="A49:E49"/>
    <mergeCell ref="A54:E54"/>
    <mergeCell ref="B60:E60"/>
    <mergeCell ref="B61:E61"/>
    <mergeCell ref="A1:E1"/>
    <mergeCell ref="B2:E2"/>
    <mergeCell ref="B3:E3"/>
    <mergeCell ref="A5:E5"/>
    <mergeCell ref="A14:E14"/>
    <mergeCell ref="A26:E26"/>
    <mergeCell ref="A44:E4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2.0"/>
    <col customWidth="1" min="3" max="3" width="18.88"/>
    <col customWidth="1" min="4" max="4" width="33.25"/>
    <col customWidth="1" min="5" max="5" width="37.63"/>
    <col customWidth="1" min="6" max="6" width="38.88"/>
  </cols>
  <sheetData>
    <row r="1">
      <c r="A1" s="29" t="s">
        <v>405</v>
      </c>
      <c r="G1" s="6"/>
      <c r="H1" s="6"/>
    </row>
    <row r="2" ht="62.25" customHeight="1">
      <c r="A2" s="9" t="s">
        <v>5</v>
      </c>
      <c r="B2" s="9" t="s">
        <v>411</v>
      </c>
      <c r="G2" s="6"/>
      <c r="H2" s="6"/>
    </row>
    <row r="3" ht="62.25" customHeight="1">
      <c r="A3" s="9" t="s">
        <v>412</v>
      </c>
      <c r="B3" s="9" t="s">
        <v>414</v>
      </c>
      <c r="G3" s="6"/>
      <c r="H3" s="6"/>
    </row>
    <row r="4">
      <c r="A4" s="14"/>
      <c r="B4" s="14"/>
      <c r="C4" s="14"/>
      <c r="D4" s="14"/>
      <c r="E4" s="14"/>
      <c r="F4" s="14"/>
      <c r="G4" s="6"/>
      <c r="H4" s="6"/>
    </row>
    <row r="5">
      <c r="A5" s="29" t="s">
        <v>418</v>
      </c>
      <c r="G5" s="6"/>
      <c r="H5" s="6"/>
    </row>
    <row r="6">
      <c r="A6" s="29" t="s">
        <v>422</v>
      </c>
      <c r="B6" s="29" t="s">
        <v>424</v>
      </c>
      <c r="C6" s="29" t="s">
        <v>425</v>
      </c>
      <c r="D6" s="29" t="s">
        <v>426</v>
      </c>
      <c r="E6" s="29" t="s">
        <v>428</v>
      </c>
      <c r="F6" s="29" t="s">
        <v>430</v>
      </c>
      <c r="G6" s="6"/>
      <c r="H6" s="6"/>
    </row>
    <row r="7" ht="42.0" customHeight="1">
      <c r="A7" s="9" t="s">
        <v>432</v>
      </c>
      <c r="B7" s="9" t="s">
        <v>433</v>
      </c>
      <c r="C7" s="9">
        <v>8.0</v>
      </c>
      <c r="D7" s="9" t="s">
        <v>435</v>
      </c>
      <c r="E7" s="9" t="s">
        <v>438</v>
      </c>
      <c r="F7" s="9" t="s">
        <v>439</v>
      </c>
      <c r="G7" s="6"/>
      <c r="H7" s="6"/>
    </row>
    <row r="8" ht="42.0" customHeight="1">
      <c r="A8" s="9" t="s">
        <v>441</v>
      </c>
      <c r="B8" s="9" t="s">
        <v>433</v>
      </c>
      <c r="C8" s="9">
        <v>6.0</v>
      </c>
      <c r="D8" s="9" t="s">
        <v>435</v>
      </c>
      <c r="E8" s="9" t="s">
        <v>438</v>
      </c>
      <c r="F8" s="9" t="s">
        <v>439</v>
      </c>
      <c r="G8" s="6"/>
      <c r="H8" s="6"/>
    </row>
    <row r="9" ht="42.0" customHeight="1">
      <c r="A9" s="9" t="s">
        <v>444</v>
      </c>
      <c r="B9" s="9" t="s">
        <v>446</v>
      </c>
      <c r="C9" s="9">
        <v>4.0</v>
      </c>
      <c r="D9" s="9" t="s">
        <v>435</v>
      </c>
      <c r="E9" s="9" t="s">
        <v>438</v>
      </c>
      <c r="F9" s="9" t="s">
        <v>449</v>
      </c>
      <c r="G9" s="6"/>
      <c r="H9" s="6"/>
    </row>
    <row r="10" ht="42.0" customHeight="1">
      <c r="A10" s="9" t="s">
        <v>451</v>
      </c>
      <c r="B10" s="9" t="s">
        <v>452</v>
      </c>
      <c r="C10" s="9">
        <v>25.0</v>
      </c>
      <c r="D10" s="9" t="s">
        <v>453</v>
      </c>
      <c r="E10" s="9" t="s">
        <v>455</v>
      </c>
      <c r="F10" s="9" t="s">
        <v>439</v>
      </c>
      <c r="G10" s="6"/>
      <c r="H10" s="6"/>
    </row>
    <row r="11">
      <c r="A11" s="14"/>
      <c r="B11" s="14"/>
      <c r="C11" s="14"/>
      <c r="D11" s="14"/>
      <c r="E11" s="14"/>
      <c r="F11" s="14"/>
      <c r="G11" s="6"/>
      <c r="H11" s="6"/>
    </row>
    <row r="12">
      <c r="A12" s="9" t="s">
        <v>462</v>
      </c>
      <c r="B12" s="14">
        <f>COUNTA(A7:A10)</f>
        <v>4</v>
      </c>
      <c r="C12" s="9" t="s">
        <v>469</v>
      </c>
      <c r="D12" s="14"/>
      <c r="E12" s="14"/>
      <c r="F12" s="14"/>
      <c r="G12" s="6"/>
      <c r="H12" s="6"/>
    </row>
    <row r="13">
      <c r="A13" s="46" t="s">
        <v>470</v>
      </c>
      <c r="B13" s="47">
        <f>SUM(C7:C10)</f>
        <v>43</v>
      </c>
      <c r="C13" s="46" t="s">
        <v>481</v>
      </c>
      <c r="D13" s="14"/>
      <c r="E13" s="14"/>
      <c r="F13" s="14"/>
      <c r="G13" s="6"/>
      <c r="H13" s="6"/>
    </row>
    <row r="14">
      <c r="A14" s="46" t="s">
        <v>484</v>
      </c>
      <c r="B14" s="47">
        <f>SUMIF(D7:D10,"self_signup",C7:C10)</f>
        <v>18</v>
      </c>
      <c r="C14" s="46" t="s">
        <v>528</v>
      </c>
      <c r="D14" s="14"/>
      <c r="E14" s="14"/>
      <c r="F14" s="14"/>
      <c r="G14" s="6"/>
      <c r="H14" s="6"/>
    </row>
    <row r="15">
      <c r="A15" s="46" t="s">
        <v>534</v>
      </c>
      <c r="B15" s="47">
        <f>SUMIF(D7:D10,"sales_led",C7:C10)</f>
        <v>25</v>
      </c>
      <c r="C15" s="46" t="s">
        <v>555</v>
      </c>
      <c r="D15" s="14"/>
      <c r="E15" s="14"/>
      <c r="F15" s="14"/>
      <c r="G15" s="6"/>
      <c r="H15" s="6"/>
    </row>
    <row r="16">
      <c r="A16" s="9" t="s">
        <v>562</v>
      </c>
      <c r="B16" s="9" t="s">
        <v>539</v>
      </c>
      <c r="C16" s="9" t="s">
        <v>566</v>
      </c>
      <c r="D16" s="14"/>
      <c r="E16" s="14"/>
      <c r="F16" s="14"/>
      <c r="G16" s="6"/>
      <c r="H16" s="6"/>
    </row>
    <row r="17">
      <c r="A17" s="14"/>
      <c r="B17" s="14"/>
      <c r="C17" s="14"/>
      <c r="D17" s="14"/>
      <c r="E17" s="14"/>
      <c r="F17" s="14"/>
      <c r="G17" s="6"/>
      <c r="H17" s="6"/>
    </row>
    <row r="18">
      <c r="A18" s="29" t="s">
        <v>574</v>
      </c>
      <c r="G18" s="6"/>
      <c r="H18" s="6"/>
    </row>
    <row r="19">
      <c r="A19" s="29" t="s">
        <v>584</v>
      </c>
      <c r="B19" s="29" t="s">
        <v>587</v>
      </c>
      <c r="C19" s="29" t="s">
        <v>590</v>
      </c>
      <c r="D19" s="29" t="s">
        <v>591</v>
      </c>
      <c r="E19" s="29" t="s">
        <v>592</v>
      </c>
      <c r="F19" s="37"/>
      <c r="G19" s="6"/>
      <c r="H19" s="6"/>
    </row>
    <row r="20" ht="73.5" customHeight="1">
      <c r="A20" s="9" t="s">
        <v>596</v>
      </c>
      <c r="B20" s="9" t="s">
        <v>598</v>
      </c>
      <c r="C20" s="9" t="s">
        <v>600</v>
      </c>
      <c r="D20" s="9" t="s">
        <v>602</v>
      </c>
      <c r="E20" s="9" t="s">
        <v>603</v>
      </c>
      <c r="F20" s="14"/>
      <c r="G20" s="6"/>
      <c r="H20" s="6"/>
    </row>
    <row r="21" ht="73.5" customHeight="1">
      <c r="A21" s="9" t="s">
        <v>663</v>
      </c>
      <c r="B21" s="9" t="s">
        <v>666</v>
      </c>
      <c r="C21" s="9" t="s">
        <v>667</v>
      </c>
      <c r="D21" s="9" t="s">
        <v>668</v>
      </c>
      <c r="E21" s="9" t="s">
        <v>669</v>
      </c>
      <c r="F21" s="14"/>
      <c r="G21" s="6"/>
      <c r="H21" s="6"/>
    </row>
    <row r="22" ht="73.5" customHeight="1">
      <c r="A22" s="9" t="s">
        <v>455</v>
      </c>
      <c r="B22" s="9" t="s">
        <v>672</v>
      </c>
      <c r="C22" s="9" t="s">
        <v>674</v>
      </c>
      <c r="D22" s="9" t="s">
        <v>675</v>
      </c>
      <c r="E22" s="9" t="s">
        <v>677</v>
      </c>
      <c r="F22" s="14"/>
      <c r="G22" s="6"/>
      <c r="H22" s="6"/>
    </row>
    <row r="23">
      <c r="A23" s="37"/>
      <c r="G23" s="6"/>
      <c r="H23" s="6"/>
    </row>
    <row r="24">
      <c r="A24" s="29" t="s">
        <v>682</v>
      </c>
      <c r="B24" s="37"/>
      <c r="C24" s="37"/>
      <c r="D24" s="37"/>
      <c r="E24" s="37"/>
      <c r="F24" s="37"/>
      <c r="G24" s="6"/>
      <c r="H24" s="6"/>
    </row>
    <row r="25" ht="58.5" customHeight="1">
      <c r="A25" s="9" t="s">
        <v>422</v>
      </c>
      <c r="B25" s="9" t="s">
        <v>687</v>
      </c>
      <c r="C25" s="9" t="s">
        <v>689</v>
      </c>
      <c r="D25" s="9" t="s">
        <v>691</v>
      </c>
      <c r="E25" s="14"/>
      <c r="F25" s="14"/>
      <c r="G25" s="6"/>
      <c r="H25" s="6"/>
    </row>
    <row r="26" ht="58.5" customHeight="1">
      <c r="A26" s="9" t="s">
        <v>684</v>
      </c>
      <c r="B26" s="9" t="s">
        <v>695</v>
      </c>
      <c r="C26" s="9" t="s">
        <v>697</v>
      </c>
      <c r="D26" s="9" t="s">
        <v>699</v>
      </c>
      <c r="E26" s="14"/>
      <c r="F26" s="14"/>
      <c r="G26" s="6"/>
      <c r="H26" s="6"/>
    </row>
    <row r="27" ht="58.5" customHeight="1">
      <c r="A27" s="9" t="s">
        <v>702</v>
      </c>
      <c r="B27" s="9" t="s">
        <v>704</v>
      </c>
      <c r="C27" s="9" t="s">
        <v>706</v>
      </c>
      <c r="D27" s="9" t="s">
        <v>708</v>
      </c>
      <c r="E27" s="14"/>
      <c r="F27" s="14"/>
      <c r="G27" s="6"/>
      <c r="H27" s="6"/>
    </row>
    <row r="28" ht="58.5" customHeight="1">
      <c r="A28" s="9" t="s">
        <v>670</v>
      </c>
      <c r="B28" s="9" t="s">
        <v>711</v>
      </c>
      <c r="C28" s="9" t="s">
        <v>714</v>
      </c>
      <c r="D28" s="9" t="s">
        <v>716</v>
      </c>
      <c r="E28" s="14"/>
      <c r="F28" s="14"/>
      <c r="G28" s="6"/>
      <c r="H28" s="6"/>
    </row>
    <row r="29" ht="58.5" customHeight="1">
      <c r="A29" s="9" t="s">
        <v>718</v>
      </c>
      <c r="B29" s="9" t="s">
        <v>720</v>
      </c>
      <c r="C29" s="9" t="s">
        <v>721</v>
      </c>
      <c r="D29" s="9" t="s">
        <v>723</v>
      </c>
      <c r="E29" s="14"/>
      <c r="F29" s="14"/>
      <c r="G29" s="6"/>
      <c r="H29" s="6"/>
    </row>
    <row r="30">
      <c r="A30" s="14"/>
      <c r="B30" s="14"/>
      <c r="G30" s="6"/>
      <c r="H30" s="6"/>
    </row>
    <row r="31" ht="57.0" customHeight="1">
      <c r="A31" s="50" t="s">
        <v>363</v>
      </c>
      <c r="B31" s="50" t="s">
        <v>727</v>
      </c>
      <c r="G31" s="6"/>
      <c r="H31" s="6"/>
    </row>
    <row r="32" ht="57.0" customHeight="1">
      <c r="A32" s="50" t="s">
        <v>728</v>
      </c>
      <c r="B32" s="50" t="s">
        <v>729</v>
      </c>
      <c r="G32" s="6"/>
      <c r="H32" s="6"/>
    </row>
    <row r="33" ht="58.5" customHeight="1">
      <c r="A33" s="52" t="s">
        <v>730</v>
      </c>
      <c r="B33" s="9" t="s">
        <v>731</v>
      </c>
      <c r="G33" s="6"/>
      <c r="H33" s="6"/>
    </row>
    <row r="34" ht="58.5" customHeight="1">
      <c r="A34" s="52" t="s">
        <v>732</v>
      </c>
      <c r="B34" s="9" t="s">
        <v>733</v>
      </c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</sheetData>
  <mergeCells count="11">
    <mergeCell ref="B31:F31"/>
    <mergeCell ref="B32:F32"/>
    <mergeCell ref="B33:F33"/>
    <mergeCell ref="B34:F34"/>
    <mergeCell ref="A1:F1"/>
    <mergeCell ref="B2:F2"/>
    <mergeCell ref="B3:F3"/>
    <mergeCell ref="A5:F5"/>
    <mergeCell ref="A18:F18"/>
    <mergeCell ref="A23:F23"/>
    <mergeCell ref="B30:F3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customWidth="1" min="2" max="2" width="39.5"/>
    <col customWidth="1" min="3" max="3" width="41.38"/>
    <col customWidth="1" min="4" max="4" width="38.88"/>
    <col customWidth="1" min="5" max="5" width="40.75"/>
  </cols>
  <sheetData>
    <row r="1">
      <c r="A1" s="48" t="s">
        <v>656</v>
      </c>
      <c r="F1" s="6"/>
      <c r="G1" s="6"/>
      <c r="H1" s="6"/>
    </row>
    <row r="2" ht="61.5" customHeight="1">
      <c r="A2" s="9" t="s">
        <v>5</v>
      </c>
      <c r="B2" s="9" t="s">
        <v>657</v>
      </c>
      <c r="F2" s="6"/>
      <c r="G2" s="6"/>
      <c r="H2" s="6"/>
    </row>
    <row r="3" ht="61.5" customHeight="1">
      <c r="A3" s="9" t="s">
        <v>658</v>
      </c>
      <c r="B3" s="9" t="s">
        <v>659</v>
      </c>
      <c r="F3" s="6"/>
      <c r="G3" s="6"/>
      <c r="H3" s="6"/>
    </row>
    <row r="4">
      <c r="A4" s="14"/>
      <c r="B4" s="14"/>
      <c r="C4" s="14"/>
      <c r="D4" s="14"/>
      <c r="E4" s="14"/>
      <c r="F4" s="6"/>
      <c r="G4" s="6"/>
      <c r="H4" s="6"/>
    </row>
    <row r="5">
      <c r="A5" s="48" t="s">
        <v>660</v>
      </c>
      <c r="F5" s="6"/>
      <c r="G5" s="6"/>
      <c r="H5" s="6"/>
    </row>
    <row r="6">
      <c r="A6" s="18" t="s">
        <v>661</v>
      </c>
      <c r="B6" s="18" t="s">
        <v>662</v>
      </c>
      <c r="C6" s="18" t="s">
        <v>664</v>
      </c>
      <c r="D6" s="18" t="s">
        <v>665</v>
      </c>
      <c r="E6" s="18" t="s">
        <v>103</v>
      </c>
      <c r="F6" s="6"/>
      <c r="G6" s="6"/>
      <c r="H6" s="6"/>
    </row>
    <row r="7" ht="61.5" customHeight="1">
      <c r="A7" s="9" t="s">
        <v>670</v>
      </c>
      <c r="B7" s="9" t="s">
        <v>671</v>
      </c>
      <c r="C7" s="9" t="s">
        <v>673</v>
      </c>
      <c r="D7" s="9" t="s">
        <v>676</v>
      </c>
      <c r="E7" s="9" t="s">
        <v>678</v>
      </c>
      <c r="F7" s="6"/>
      <c r="G7" s="6"/>
      <c r="H7" s="6"/>
    </row>
    <row r="8" ht="61.5" customHeight="1">
      <c r="A8" s="9" t="s">
        <v>422</v>
      </c>
      <c r="B8" s="9" t="s">
        <v>679</v>
      </c>
      <c r="C8" s="9" t="s">
        <v>680</v>
      </c>
      <c r="D8" s="9" t="s">
        <v>681</v>
      </c>
      <c r="E8" s="9" t="s">
        <v>683</v>
      </c>
      <c r="F8" s="6"/>
      <c r="G8" s="6"/>
      <c r="H8" s="6"/>
    </row>
    <row r="9" ht="61.5" customHeight="1">
      <c r="A9" s="9" t="s">
        <v>684</v>
      </c>
      <c r="B9" s="9" t="s">
        <v>685</v>
      </c>
      <c r="C9" s="9" t="s">
        <v>686</v>
      </c>
      <c r="D9" s="9" t="s">
        <v>688</v>
      </c>
      <c r="E9" s="9" t="s">
        <v>690</v>
      </c>
      <c r="F9" s="6"/>
      <c r="G9" s="6"/>
      <c r="H9" s="6"/>
    </row>
    <row r="10" ht="61.5" customHeight="1">
      <c r="A10" s="9" t="s">
        <v>692</v>
      </c>
      <c r="B10" s="9" t="s">
        <v>693</v>
      </c>
      <c r="C10" s="9" t="s">
        <v>694</v>
      </c>
      <c r="D10" s="9" t="s">
        <v>696</v>
      </c>
      <c r="E10" s="9" t="s">
        <v>698</v>
      </c>
      <c r="F10" s="6"/>
      <c r="G10" s="6"/>
      <c r="H10" s="6"/>
    </row>
    <row r="11" ht="61.5" customHeight="1">
      <c r="A11" s="9" t="s">
        <v>700</v>
      </c>
      <c r="B11" s="9" t="s">
        <v>701</v>
      </c>
      <c r="C11" s="9" t="s">
        <v>703</v>
      </c>
      <c r="D11" s="9" t="s">
        <v>705</v>
      </c>
      <c r="E11" s="9" t="s">
        <v>707</v>
      </c>
      <c r="F11" s="6"/>
      <c r="G11" s="6"/>
      <c r="H11" s="6"/>
    </row>
    <row r="12" ht="61.5" customHeight="1">
      <c r="A12" s="9" t="s">
        <v>709</v>
      </c>
      <c r="B12" s="9" t="s">
        <v>710</v>
      </c>
      <c r="C12" s="9" t="s">
        <v>712</v>
      </c>
      <c r="D12" s="9" t="s">
        <v>713</v>
      </c>
      <c r="E12" s="9" t="s">
        <v>715</v>
      </c>
      <c r="F12" s="6"/>
      <c r="G12" s="6"/>
      <c r="H12" s="6"/>
    </row>
    <row r="13" ht="61.5" customHeight="1">
      <c r="A13" s="9" t="s">
        <v>717</v>
      </c>
      <c r="B13" s="9" t="s">
        <v>719</v>
      </c>
      <c r="C13" s="9" t="s">
        <v>722</v>
      </c>
      <c r="D13" s="9" t="s">
        <v>724</v>
      </c>
      <c r="E13" s="9" t="s">
        <v>725</v>
      </c>
      <c r="F13" s="6"/>
      <c r="G13" s="6"/>
      <c r="H13" s="6"/>
    </row>
    <row r="14">
      <c r="A14" s="49"/>
      <c r="F14" s="6"/>
      <c r="G14" s="6"/>
      <c r="H14" s="6"/>
    </row>
    <row r="15">
      <c r="A15" s="18" t="s">
        <v>726</v>
      </c>
      <c r="B15" s="51"/>
      <c r="C15" s="51"/>
      <c r="D15" s="51"/>
      <c r="E15" s="51"/>
      <c r="F15" s="6"/>
      <c r="G15" s="6"/>
      <c r="H15" s="6"/>
    </row>
    <row r="16" ht="57.0" customHeight="1">
      <c r="A16" s="9" t="s">
        <v>556</v>
      </c>
      <c r="B16" s="9" t="s">
        <v>735</v>
      </c>
      <c r="C16" s="9" t="s">
        <v>736</v>
      </c>
      <c r="D16" s="9" t="s">
        <v>737</v>
      </c>
      <c r="E16" s="9" t="s">
        <v>738</v>
      </c>
      <c r="F16" s="6"/>
      <c r="G16" s="6"/>
      <c r="H16" s="6"/>
    </row>
    <row r="17" ht="57.0" customHeight="1">
      <c r="A17" s="9" t="s">
        <v>740</v>
      </c>
      <c r="B17" s="9" t="s">
        <v>741</v>
      </c>
      <c r="C17" s="9" t="s">
        <v>743</v>
      </c>
      <c r="D17" s="9" t="s">
        <v>744</v>
      </c>
      <c r="E17" s="9" t="s">
        <v>745</v>
      </c>
      <c r="F17" s="6"/>
      <c r="G17" s="6"/>
      <c r="H17" s="6"/>
    </row>
    <row r="18" ht="57.0" customHeight="1">
      <c r="A18" s="9" t="s">
        <v>741</v>
      </c>
      <c r="B18" s="9" t="s">
        <v>422</v>
      </c>
      <c r="C18" s="9" t="s">
        <v>746</v>
      </c>
      <c r="D18" s="9" t="s">
        <v>748</v>
      </c>
      <c r="E18" s="9" t="s">
        <v>749</v>
      </c>
      <c r="F18" s="6"/>
      <c r="G18" s="6"/>
      <c r="H18" s="6"/>
    </row>
    <row r="19" ht="57.0" customHeight="1">
      <c r="A19" s="9" t="s">
        <v>422</v>
      </c>
      <c r="B19" s="9" t="s">
        <v>684</v>
      </c>
      <c r="C19" s="9" t="s">
        <v>751</v>
      </c>
      <c r="D19" s="9" t="s">
        <v>752</v>
      </c>
      <c r="E19" s="9" t="s">
        <v>753</v>
      </c>
      <c r="F19" s="6"/>
      <c r="G19" s="6"/>
      <c r="H19" s="6"/>
    </row>
    <row r="20" ht="57.0" customHeight="1">
      <c r="A20" s="9" t="s">
        <v>684</v>
      </c>
      <c r="B20" s="9" t="s">
        <v>754</v>
      </c>
      <c r="C20" s="9" t="s">
        <v>757</v>
      </c>
      <c r="D20" s="9" t="s">
        <v>759</v>
      </c>
      <c r="E20" s="9" t="s">
        <v>761</v>
      </c>
      <c r="F20" s="6"/>
      <c r="G20" s="6"/>
      <c r="H20" s="6"/>
    </row>
    <row r="21" ht="57.0" customHeight="1">
      <c r="A21" s="9" t="s">
        <v>422</v>
      </c>
      <c r="B21" s="9" t="s">
        <v>692</v>
      </c>
      <c r="C21" s="9" t="s">
        <v>766</v>
      </c>
      <c r="D21" s="9" t="s">
        <v>768</v>
      </c>
      <c r="E21" s="9" t="s">
        <v>769</v>
      </c>
      <c r="F21" s="6"/>
      <c r="G21" s="6"/>
      <c r="H21" s="6"/>
    </row>
    <row r="22" ht="57.0" customHeight="1">
      <c r="A22" s="9" t="s">
        <v>692</v>
      </c>
      <c r="B22" s="9" t="s">
        <v>700</v>
      </c>
      <c r="C22" s="9" t="s">
        <v>770</v>
      </c>
      <c r="D22" s="9" t="s">
        <v>771</v>
      </c>
      <c r="E22" s="9" t="s">
        <v>772</v>
      </c>
      <c r="F22" s="6"/>
      <c r="G22" s="6"/>
      <c r="H22" s="6"/>
    </row>
    <row r="23" ht="57.0" customHeight="1">
      <c r="A23" s="9" t="s">
        <v>773</v>
      </c>
      <c r="B23" s="9" t="s">
        <v>709</v>
      </c>
      <c r="C23" s="9" t="s">
        <v>774</v>
      </c>
      <c r="D23" s="9" t="s">
        <v>775</v>
      </c>
      <c r="E23" s="9" t="s">
        <v>776</v>
      </c>
      <c r="F23" s="6"/>
      <c r="G23" s="6"/>
      <c r="H23" s="6"/>
    </row>
    <row r="24" ht="57.0" customHeight="1">
      <c r="A24" s="9" t="s">
        <v>709</v>
      </c>
      <c r="B24" s="9" t="s">
        <v>777</v>
      </c>
      <c r="C24" s="9" t="s">
        <v>778</v>
      </c>
      <c r="D24" s="9" t="s">
        <v>779</v>
      </c>
      <c r="E24" s="9" t="s">
        <v>780</v>
      </c>
      <c r="F24" s="6"/>
      <c r="G24" s="6"/>
      <c r="H24" s="6"/>
    </row>
    <row r="25">
      <c r="A25" s="49"/>
      <c r="F25" s="6"/>
      <c r="G25" s="6"/>
      <c r="H25" s="6"/>
    </row>
    <row r="26">
      <c r="A26" s="18" t="s">
        <v>783</v>
      </c>
      <c r="B26" s="51"/>
      <c r="C26" s="51"/>
      <c r="D26" s="51"/>
      <c r="E26" s="51"/>
      <c r="F26" s="6"/>
      <c r="G26" s="6"/>
      <c r="H26" s="6"/>
    </row>
    <row r="27" ht="56.25" customHeight="1">
      <c r="A27" s="9" t="s">
        <v>422</v>
      </c>
      <c r="B27" s="9" t="s">
        <v>425</v>
      </c>
      <c r="C27" s="9" t="s">
        <v>426</v>
      </c>
      <c r="D27" s="9" t="s">
        <v>789</v>
      </c>
      <c r="E27" s="9" t="s">
        <v>791</v>
      </c>
      <c r="F27" s="6"/>
      <c r="G27" s="6"/>
      <c r="H27" s="6"/>
    </row>
    <row r="28" ht="56.25" customHeight="1">
      <c r="A28" s="9" t="s">
        <v>432</v>
      </c>
      <c r="B28" s="9">
        <v>8.0</v>
      </c>
      <c r="C28" s="9" t="s">
        <v>435</v>
      </c>
      <c r="D28" s="9" t="s">
        <v>795</v>
      </c>
      <c r="E28" s="9" t="s">
        <v>796</v>
      </c>
      <c r="F28" s="6"/>
      <c r="G28" s="6"/>
      <c r="H28" s="6"/>
    </row>
    <row r="29" ht="56.25" customHeight="1">
      <c r="A29" s="9" t="s">
        <v>441</v>
      </c>
      <c r="B29" s="9">
        <v>6.0</v>
      </c>
      <c r="C29" s="9" t="s">
        <v>435</v>
      </c>
      <c r="D29" s="9" t="s">
        <v>795</v>
      </c>
      <c r="E29" s="9" t="s">
        <v>796</v>
      </c>
      <c r="F29" s="6"/>
      <c r="G29" s="6"/>
      <c r="H29" s="6"/>
    </row>
    <row r="30" ht="56.25" customHeight="1">
      <c r="A30" s="9" t="s">
        <v>444</v>
      </c>
      <c r="B30" s="9">
        <v>4.0</v>
      </c>
      <c r="C30" s="9" t="s">
        <v>435</v>
      </c>
      <c r="D30" s="9" t="s">
        <v>795</v>
      </c>
      <c r="E30" s="9" t="s">
        <v>796</v>
      </c>
      <c r="F30" s="6"/>
      <c r="G30" s="6"/>
      <c r="H30" s="6"/>
    </row>
    <row r="31" ht="56.25" customHeight="1">
      <c r="A31" s="39" t="s">
        <v>451</v>
      </c>
      <c r="B31" s="39">
        <v>25.0</v>
      </c>
      <c r="C31" s="39" t="s">
        <v>453</v>
      </c>
      <c r="D31" s="39" t="s">
        <v>807</v>
      </c>
      <c r="E31" s="39" t="s">
        <v>809</v>
      </c>
      <c r="F31" s="6"/>
      <c r="G31" s="6"/>
      <c r="H31" s="6"/>
    </row>
    <row r="32" ht="56.25" customHeight="1">
      <c r="A32" s="9" t="s">
        <v>812</v>
      </c>
      <c r="B32" s="14">
        <f>'S5 Q1 - CRM gaps'!B13</f>
        <v>43</v>
      </c>
      <c r="C32" s="9" t="s">
        <v>833</v>
      </c>
      <c r="D32" s="9" t="s">
        <v>835</v>
      </c>
      <c r="E32" s="9" t="s">
        <v>837</v>
      </c>
      <c r="F32" s="6"/>
      <c r="G32" s="6"/>
      <c r="H32" s="6"/>
    </row>
    <row r="33">
      <c r="A33" s="14"/>
      <c r="B33" s="14"/>
      <c r="C33" s="14"/>
      <c r="D33" s="14"/>
      <c r="E33" s="14"/>
      <c r="F33" s="6"/>
      <c r="G33" s="6"/>
      <c r="H33" s="6"/>
    </row>
    <row r="34">
      <c r="A34" s="48" t="s">
        <v>842</v>
      </c>
      <c r="F34" s="6"/>
      <c r="G34" s="6"/>
      <c r="H34" s="6"/>
    </row>
    <row r="35">
      <c r="A35" s="18" t="s">
        <v>845</v>
      </c>
      <c r="B35" s="18" t="s">
        <v>848</v>
      </c>
      <c r="C35" s="18" t="s">
        <v>852</v>
      </c>
      <c r="D35" s="18" t="s">
        <v>855</v>
      </c>
      <c r="E35" s="18" t="s">
        <v>857</v>
      </c>
      <c r="F35" s="6"/>
      <c r="G35" s="6"/>
      <c r="H35" s="6"/>
    </row>
    <row r="36" ht="57.0" customHeight="1">
      <c r="A36" s="9" t="s">
        <v>859</v>
      </c>
      <c r="B36" s="9" t="s">
        <v>861</v>
      </c>
      <c r="C36" s="9" t="s">
        <v>863</v>
      </c>
      <c r="D36" s="9" t="s">
        <v>864</v>
      </c>
      <c r="E36" s="9" t="s">
        <v>866</v>
      </c>
      <c r="F36" s="6"/>
      <c r="G36" s="6"/>
      <c r="H36" s="6"/>
    </row>
    <row r="37" ht="57.0" customHeight="1">
      <c r="A37" s="9" t="s">
        <v>813</v>
      </c>
      <c r="B37" s="9" t="s">
        <v>868</v>
      </c>
      <c r="C37" s="9" t="s">
        <v>869</v>
      </c>
      <c r="D37" s="9" t="s">
        <v>870</v>
      </c>
      <c r="E37" s="9" t="s">
        <v>872</v>
      </c>
      <c r="F37" s="6"/>
      <c r="G37" s="6"/>
      <c r="H37" s="6"/>
    </row>
    <row r="38" ht="57.0" customHeight="1">
      <c r="A38" s="9" t="s">
        <v>873</v>
      </c>
      <c r="B38" s="9" t="s">
        <v>874</v>
      </c>
      <c r="C38" s="9" t="s">
        <v>876</v>
      </c>
      <c r="D38" s="9" t="s">
        <v>877</v>
      </c>
      <c r="E38" s="9" t="s">
        <v>879</v>
      </c>
      <c r="F38" s="6"/>
      <c r="G38" s="6"/>
      <c r="H38" s="6"/>
    </row>
    <row r="39" ht="57.0" customHeight="1">
      <c r="A39" s="9" t="s">
        <v>883</v>
      </c>
      <c r="B39" s="9" t="s">
        <v>885</v>
      </c>
      <c r="C39" s="9" t="s">
        <v>887</v>
      </c>
      <c r="D39" s="9" t="s">
        <v>889</v>
      </c>
      <c r="E39" s="9" t="s">
        <v>891</v>
      </c>
      <c r="F39" s="6"/>
      <c r="G39" s="6"/>
      <c r="H39" s="6"/>
    </row>
    <row r="40" ht="57.0" customHeight="1">
      <c r="A40" s="14"/>
      <c r="B40" s="14"/>
      <c r="C40" s="14"/>
      <c r="D40" s="14"/>
      <c r="E40" s="14"/>
      <c r="F40" s="6"/>
      <c r="G40" s="6"/>
      <c r="H40" s="6"/>
    </row>
    <row r="41">
      <c r="A41" s="48" t="s">
        <v>363</v>
      </c>
      <c r="B41" s="48" t="s">
        <v>900</v>
      </c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</sheetData>
  <mergeCells count="8">
    <mergeCell ref="A1:E1"/>
    <mergeCell ref="A5:E5"/>
    <mergeCell ref="A14:E14"/>
    <mergeCell ref="A25:E25"/>
    <mergeCell ref="A34:E34"/>
    <mergeCell ref="B2:E2"/>
    <mergeCell ref="B3:E3"/>
    <mergeCell ref="B41:E4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25"/>
    <col customWidth="1" min="2" max="2" width="43.25"/>
    <col customWidth="1" min="3" max="3" width="48.88"/>
    <col customWidth="1" min="4" max="4" width="37.63"/>
    <col customWidth="1" min="5" max="5" width="43.88"/>
  </cols>
  <sheetData>
    <row r="1">
      <c r="A1" s="53" t="s">
        <v>734</v>
      </c>
    </row>
    <row r="2" ht="55.5" customHeight="1">
      <c r="A2" s="5" t="s">
        <v>5</v>
      </c>
      <c r="B2" s="5" t="s">
        <v>739</v>
      </c>
    </row>
    <row r="3" ht="55.5" customHeight="1">
      <c r="A3" s="5" t="s">
        <v>308</v>
      </c>
      <c r="B3" s="5" t="s">
        <v>742</v>
      </c>
    </row>
    <row r="4">
      <c r="A4" s="28"/>
      <c r="B4" s="28"/>
      <c r="C4" s="28"/>
      <c r="D4" s="28"/>
      <c r="E4" s="28"/>
    </row>
    <row r="5">
      <c r="A5" s="53" t="s">
        <v>747</v>
      </c>
    </row>
    <row r="6">
      <c r="A6" s="54" t="s">
        <v>750</v>
      </c>
      <c r="B6" s="54" t="s">
        <v>525</v>
      </c>
      <c r="C6" s="54" t="s">
        <v>755</v>
      </c>
      <c r="D6" s="54" t="s">
        <v>756</v>
      </c>
      <c r="E6" s="54" t="s">
        <v>758</v>
      </c>
    </row>
    <row r="7" ht="66.0" customHeight="1">
      <c r="A7" s="5" t="s">
        <v>760</v>
      </c>
      <c r="B7" s="5" t="s">
        <v>762</v>
      </c>
      <c r="C7" s="5" t="s">
        <v>763</v>
      </c>
      <c r="D7" s="5" t="s">
        <v>764</v>
      </c>
      <c r="E7" s="5" t="s">
        <v>765</v>
      </c>
    </row>
    <row r="8" ht="66.0" customHeight="1">
      <c r="A8" s="55" t="s">
        <v>767</v>
      </c>
      <c r="B8" s="55" t="s">
        <v>781</v>
      </c>
      <c r="C8" s="55" t="s">
        <v>782</v>
      </c>
      <c r="D8" s="55" t="s">
        <v>784</v>
      </c>
      <c r="E8" s="55" t="s">
        <v>785</v>
      </c>
    </row>
    <row r="9" ht="66.0" customHeight="1">
      <c r="A9" s="55" t="s">
        <v>786</v>
      </c>
      <c r="B9" s="55" t="s">
        <v>787</v>
      </c>
      <c r="C9" s="55" t="s">
        <v>788</v>
      </c>
      <c r="D9" s="55" t="s">
        <v>790</v>
      </c>
      <c r="E9" s="55" t="s">
        <v>792</v>
      </c>
    </row>
    <row r="10" ht="66.0" customHeight="1">
      <c r="A10" s="55" t="s">
        <v>793</v>
      </c>
      <c r="B10" s="55" t="s">
        <v>794</v>
      </c>
      <c r="C10" s="55" t="s">
        <v>797</v>
      </c>
      <c r="D10" s="55" t="s">
        <v>798</v>
      </c>
      <c r="E10" s="55" t="s">
        <v>799</v>
      </c>
    </row>
    <row r="11" ht="66.0" customHeight="1">
      <c r="A11" s="55" t="s">
        <v>800</v>
      </c>
      <c r="B11" s="55" t="s">
        <v>801</v>
      </c>
      <c r="C11" s="55" t="s">
        <v>802</v>
      </c>
      <c r="D11" s="55" t="s">
        <v>803</v>
      </c>
      <c r="E11" s="55" t="s">
        <v>804</v>
      </c>
    </row>
    <row r="12">
      <c r="A12" s="28"/>
      <c r="B12" s="28"/>
      <c r="C12" s="28"/>
      <c r="D12" s="28"/>
      <c r="E12" s="28"/>
    </row>
    <row r="13">
      <c r="A13" s="53" t="s">
        <v>805</v>
      </c>
    </row>
    <row r="14">
      <c r="A14" s="54" t="s">
        <v>806</v>
      </c>
      <c r="B14" s="54" t="s">
        <v>808</v>
      </c>
      <c r="C14" s="54" t="s">
        <v>810</v>
      </c>
      <c r="D14" s="54" t="s">
        <v>811</v>
      </c>
      <c r="E14" s="54" t="s">
        <v>813</v>
      </c>
    </row>
    <row r="15" ht="70.5" customHeight="1">
      <c r="A15" s="5" t="s">
        <v>815</v>
      </c>
      <c r="B15" s="5" t="s">
        <v>816</v>
      </c>
      <c r="C15" s="5" t="s">
        <v>817</v>
      </c>
      <c r="D15" s="5" t="s">
        <v>818</v>
      </c>
      <c r="E15" s="5" t="s">
        <v>819</v>
      </c>
    </row>
    <row r="16" ht="70.5" customHeight="1">
      <c r="A16" s="5" t="s">
        <v>820</v>
      </c>
      <c r="B16" s="5" t="s">
        <v>821</v>
      </c>
      <c r="C16" s="5" t="s">
        <v>822</v>
      </c>
      <c r="D16" s="5" t="s">
        <v>824</v>
      </c>
      <c r="E16" s="5" t="s">
        <v>825</v>
      </c>
    </row>
    <row r="17" ht="70.5" customHeight="1">
      <c r="A17" s="5" t="s">
        <v>827</v>
      </c>
      <c r="B17" s="5" t="s">
        <v>829</v>
      </c>
      <c r="C17" s="5" t="s">
        <v>830</v>
      </c>
      <c r="D17" s="5" t="s">
        <v>832</v>
      </c>
      <c r="E17" s="5" t="s">
        <v>836</v>
      </c>
    </row>
    <row r="18" ht="70.5" customHeight="1">
      <c r="A18" s="5" t="s">
        <v>838</v>
      </c>
      <c r="B18" s="5" t="s">
        <v>839</v>
      </c>
      <c r="C18" s="5" t="s">
        <v>840</v>
      </c>
      <c r="D18" s="5" t="s">
        <v>843</v>
      </c>
      <c r="E18" s="5" t="s">
        <v>844</v>
      </c>
    </row>
    <row r="19" ht="70.5" customHeight="1">
      <c r="A19" s="5" t="s">
        <v>718</v>
      </c>
      <c r="B19" s="5" t="s">
        <v>847</v>
      </c>
      <c r="C19" s="5" t="s">
        <v>850</v>
      </c>
      <c r="D19" s="5" t="s">
        <v>853</v>
      </c>
      <c r="E19" s="5" t="s">
        <v>856</v>
      </c>
    </row>
    <row r="20" ht="70.5" customHeight="1">
      <c r="A20" s="5" t="s">
        <v>858</v>
      </c>
      <c r="B20" s="5" t="s">
        <v>860</v>
      </c>
      <c r="C20" s="5" t="s">
        <v>862</v>
      </c>
      <c r="D20" s="5" t="s">
        <v>865</v>
      </c>
      <c r="E20" s="5" t="s">
        <v>867</v>
      </c>
    </row>
    <row r="21">
      <c r="A21" s="28"/>
      <c r="B21" s="28"/>
      <c r="C21" s="28"/>
      <c r="D21" s="28"/>
      <c r="E21" s="28"/>
    </row>
    <row r="22">
      <c r="A22" s="53" t="s">
        <v>871</v>
      </c>
    </row>
    <row r="23">
      <c r="A23" s="54" t="s">
        <v>875</v>
      </c>
      <c r="B23" s="54" t="s">
        <v>878</v>
      </c>
      <c r="C23" s="54" t="s">
        <v>880</v>
      </c>
      <c r="D23" s="54" t="s">
        <v>881</v>
      </c>
      <c r="E23" s="54" t="s">
        <v>882</v>
      </c>
    </row>
    <row r="24" ht="69.0" customHeight="1">
      <c r="A24" s="5" t="s">
        <v>884</v>
      </c>
      <c r="B24" s="5" t="s">
        <v>886</v>
      </c>
      <c r="C24" s="5" t="s">
        <v>888</v>
      </c>
      <c r="D24" s="5" t="s">
        <v>890</v>
      </c>
      <c r="E24" s="5" t="s">
        <v>892</v>
      </c>
    </row>
    <row r="25" ht="69.0" customHeight="1">
      <c r="A25" s="5" t="s">
        <v>894</v>
      </c>
      <c r="B25" s="5" t="s">
        <v>896</v>
      </c>
      <c r="C25" s="5" t="s">
        <v>898</v>
      </c>
      <c r="D25" s="5" t="s">
        <v>899</v>
      </c>
      <c r="E25" s="5" t="s">
        <v>901</v>
      </c>
    </row>
    <row r="26" ht="69.0" customHeight="1">
      <c r="A26" s="5" t="s">
        <v>903</v>
      </c>
      <c r="B26" s="5" t="s">
        <v>905</v>
      </c>
      <c r="C26" s="5" t="s">
        <v>907</v>
      </c>
      <c r="D26" s="5" t="s">
        <v>908</v>
      </c>
      <c r="E26" s="5" t="s">
        <v>910</v>
      </c>
    </row>
    <row r="27" ht="69.0" customHeight="1">
      <c r="A27" s="5" t="s">
        <v>913</v>
      </c>
      <c r="B27" s="5" t="s">
        <v>915</v>
      </c>
      <c r="C27" s="5" t="s">
        <v>916</v>
      </c>
      <c r="D27" s="5" t="s">
        <v>917</v>
      </c>
      <c r="E27" s="5" t="s">
        <v>919</v>
      </c>
    </row>
    <row r="28" ht="69.0" customHeight="1">
      <c r="A28" s="5" t="s">
        <v>921</v>
      </c>
      <c r="B28" s="5" t="s">
        <v>924</v>
      </c>
      <c r="C28" s="5" t="s">
        <v>926</v>
      </c>
      <c r="D28" s="5" t="s">
        <v>928</v>
      </c>
      <c r="E28" s="5" t="s">
        <v>930</v>
      </c>
    </row>
    <row r="29" ht="69.0" customHeight="1">
      <c r="A29" s="28"/>
      <c r="B29" s="28"/>
      <c r="C29" s="28"/>
      <c r="D29" s="28"/>
      <c r="E29" s="28"/>
    </row>
    <row r="30">
      <c r="A30" s="53" t="s">
        <v>937</v>
      </c>
    </row>
    <row r="31">
      <c r="A31" s="56" t="s">
        <v>939</v>
      </c>
      <c r="B31" s="56">
        <f>'S5 Q1 - CRM gaps'!B12</f>
        <v>4</v>
      </c>
      <c r="C31" s="56" t="s">
        <v>961</v>
      </c>
      <c r="D31" s="56" t="s">
        <v>962</v>
      </c>
      <c r="E31" s="56" t="s">
        <v>964</v>
      </c>
    </row>
    <row r="32">
      <c r="A32" s="5" t="s">
        <v>968</v>
      </c>
      <c r="B32" s="28">
        <f>'S5 Q1 - CRM gaps'!B13</f>
        <v>43</v>
      </c>
      <c r="C32" s="5" t="s">
        <v>972</v>
      </c>
      <c r="D32" s="5" t="s">
        <v>962</v>
      </c>
      <c r="E32" s="5" t="s">
        <v>974</v>
      </c>
    </row>
    <row r="33" ht="54.0" customHeight="1">
      <c r="A33" s="5" t="s">
        <v>977</v>
      </c>
      <c r="B33" s="5" t="s">
        <v>978</v>
      </c>
      <c r="C33" s="5" t="s">
        <v>980</v>
      </c>
      <c r="D33" s="5" t="s">
        <v>982</v>
      </c>
      <c r="E33" s="5" t="s">
        <v>984</v>
      </c>
    </row>
    <row r="34" ht="54.0" customHeight="1">
      <c r="A34" s="5" t="s">
        <v>986</v>
      </c>
      <c r="B34" s="5" t="s">
        <v>978</v>
      </c>
      <c r="C34" s="5" t="s">
        <v>987</v>
      </c>
      <c r="D34" s="5" t="s">
        <v>982</v>
      </c>
      <c r="E34" s="5" t="s">
        <v>988</v>
      </c>
    </row>
    <row r="35" ht="54.0" customHeight="1">
      <c r="A35" s="5" t="s">
        <v>989</v>
      </c>
      <c r="B35" s="5" t="s">
        <v>978</v>
      </c>
      <c r="C35" s="5" t="s">
        <v>990</v>
      </c>
      <c r="D35" s="5" t="s">
        <v>982</v>
      </c>
      <c r="E35" s="5" t="s">
        <v>991</v>
      </c>
    </row>
    <row r="36" ht="54.0" customHeight="1">
      <c r="A36" s="28"/>
      <c r="B36" s="28"/>
      <c r="C36" s="28"/>
      <c r="D36" s="28"/>
      <c r="E36" s="28"/>
    </row>
    <row r="37">
      <c r="A37" s="53" t="s">
        <v>992</v>
      </c>
    </row>
    <row r="38">
      <c r="A38" s="56" t="s">
        <v>993</v>
      </c>
      <c r="B38" s="56" t="s">
        <v>994</v>
      </c>
    </row>
    <row r="39" ht="62.25" customHeight="1">
      <c r="A39" s="5" t="s">
        <v>996</v>
      </c>
      <c r="B39" s="5" t="s">
        <v>997</v>
      </c>
    </row>
    <row r="40" ht="62.25" customHeight="1">
      <c r="A40" s="5" t="s">
        <v>999</v>
      </c>
      <c r="B40" s="5" t="s">
        <v>1000</v>
      </c>
    </row>
    <row r="41" ht="62.25" customHeight="1"/>
  </sheetData>
  <mergeCells count="12">
    <mergeCell ref="B39:E39"/>
    <mergeCell ref="B40:E40"/>
    <mergeCell ref="B41:E41"/>
    <mergeCell ref="A37:E37"/>
    <mergeCell ref="B38:E38"/>
    <mergeCell ref="A1:E1"/>
    <mergeCell ref="A5:E5"/>
    <mergeCell ref="A13:E13"/>
    <mergeCell ref="A22:E22"/>
    <mergeCell ref="B2:E2"/>
    <mergeCell ref="B3:E3"/>
    <mergeCell ref="A30:E3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0.75"/>
    <col customWidth="1" min="2" max="2" width="29.5"/>
    <col customWidth="1" min="3" max="3" width="49.5"/>
    <col customWidth="1" min="4" max="4" width="40.75"/>
    <col customWidth="1" min="5" max="5" width="48.25"/>
  </cols>
  <sheetData>
    <row r="1">
      <c r="A1" s="3" t="s">
        <v>814</v>
      </c>
      <c r="F1" s="6"/>
      <c r="G1" s="6"/>
      <c r="H1" s="6"/>
    </row>
    <row r="2" ht="54.75" customHeight="1">
      <c r="A2" s="9" t="s">
        <v>5</v>
      </c>
      <c r="B2" s="9" t="s">
        <v>823</v>
      </c>
      <c r="F2" s="6"/>
      <c r="G2" s="6"/>
      <c r="H2" s="6"/>
    </row>
    <row r="3" ht="54.75" customHeight="1">
      <c r="A3" s="9" t="s">
        <v>826</v>
      </c>
      <c r="B3" s="9" t="s">
        <v>828</v>
      </c>
      <c r="F3" s="6"/>
      <c r="G3" s="6"/>
      <c r="H3" s="6"/>
    </row>
    <row r="4" ht="54.75" customHeight="1">
      <c r="A4" s="9" t="s">
        <v>831</v>
      </c>
      <c r="B4" s="9" t="s">
        <v>834</v>
      </c>
      <c r="F4" s="6"/>
      <c r="G4" s="6"/>
      <c r="H4" s="6"/>
    </row>
    <row r="5">
      <c r="A5" s="14"/>
      <c r="B5" s="14"/>
      <c r="C5" s="14"/>
      <c r="D5" s="14"/>
      <c r="E5" s="14"/>
      <c r="F5" s="6"/>
      <c r="G5" s="6"/>
      <c r="H5" s="6"/>
    </row>
    <row r="6">
      <c r="A6" s="3" t="s">
        <v>841</v>
      </c>
      <c r="F6" s="6"/>
      <c r="G6" s="6"/>
      <c r="H6" s="6"/>
    </row>
    <row r="7">
      <c r="A7" s="18" t="s">
        <v>323</v>
      </c>
      <c r="B7" s="18" t="s">
        <v>846</v>
      </c>
      <c r="C7" s="18" t="s">
        <v>849</v>
      </c>
      <c r="D7" s="18" t="s">
        <v>851</v>
      </c>
      <c r="E7" s="18" t="s">
        <v>854</v>
      </c>
      <c r="F7" s="6"/>
      <c r="G7" s="6"/>
      <c r="H7" s="6"/>
    </row>
    <row r="8" ht="62.25" customHeight="1">
      <c r="A8" s="36" t="s">
        <v>340</v>
      </c>
      <c r="B8" s="9" t="s">
        <v>560</v>
      </c>
      <c r="C8" s="9" t="s">
        <v>893</v>
      </c>
      <c r="D8" s="9" t="s">
        <v>895</v>
      </c>
      <c r="E8" s="9" t="s">
        <v>897</v>
      </c>
      <c r="F8" s="6"/>
      <c r="G8" s="6"/>
      <c r="H8" s="6"/>
    </row>
    <row r="9" ht="62.25" customHeight="1">
      <c r="A9" s="36" t="s">
        <v>360</v>
      </c>
      <c r="B9" s="9" t="s">
        <v>111</v>
      </c>
      <c r="C9" s="9" t="s">
        <v>902</v>
      </c>
      <c r="D9" s="9" t="s">
        <v>904</v>
      </c>
      <c r="E9" s="9" t="s">
        <v>906</v>
      </c>
      <c r="F9" s="6"/>
      <c r="G9" s="6"/>
      <c r="H9" s="6"/>
    </row>
    <row r="10" ht="62.25" customHeight="1">
      <c r="A10" s="36" t="s">
        <v>375</v>
      </c>
      <c r="B10" s="9" t="s">
        <v>909</v>
      </c>
      <c r="C10" s="9" t="s">
        <v>911</v>
      </c>
      <c r="D10" s="9" t="s">
        <v>912</v>
      </c>
      <c r="E10" s="9" t="s">
        <v>914</v>
      </c>
      <c r="F10" s="6"/>
      <c r="G10" s="6"/>
      <c r="H10" s="6"/>
    </row>
    <row r="11" ht="62.25" customHeight="1">
      <c r="A11" s="36" t="s">
        <v>382</v>
      </c>
      <c r="B11" s="9" t="s">
        <v>918</v>
      </c>
      <c r="C11" s="9" t="s">
        <v>920</v>
      </c>
      <c r="D11" s="9" t="s">
        <v>922</v>
      </c>
      <c r="E11" s="9" t="s">
        <v>923</v>
      </c>
      <c r="F11" s="6"/>
      <c r="G11" s="6"/>
      <c r="H11" s="6"/>
    </row>
    <row r="12" ht="62.25" customHeight="1">
      <c r="A12" s="36" t="s">
        <v>925</v>
      </c>
      <c r="B12" s="9" t="s">
        <v>927</v>
      </c>
      <c r="C12" s="9" t="s">
        <v>929</v>
      </c>
      <c r="D12" s="9" t="s">
        <v>931</v>
      </c>
      <c r="E12" s="9" t="s">
        <v>932</v>
      </c>
      <c r="F12" s="6"/>
      <c r="G12" s="6"/>
      <c r="H12" s="6"/>
    </row>
    <row r="13" ht="62.25" customHeight="1">
      <c r="A13" s="36" t="s">
        <v>933</v>
      </c>
      <c r="B13" s="9" t="s">
        <v>934</v>
      </c>
      <c r="C13" s="9" t="s">
        <v>935</v>
      </c>
      <c r="D13" s="9" t="s">
        <v>936</v>
      </c>
      <c r="E13" s="9" t="s">
        <v>938</v>
      </c>
      <c r="F13" s="6"/>
      <c r="G13" s="6"/>
      <c r="H13" s="6"/>
    </row>
    <row r="14">
      <c r="A14" s="14"/>
      <c r="B14" s="14"/>
      <c r="C14" s="14"/>
      <c r="D14" s="14"/>
      <c r="E14" s="14"/>
      <c r="F14" s="6"/>
      <c r="G14" s="6"/>
      <c r="H14" s="6"/>
    </row>
    <row r="15">
      <c r="A15" s="3" t="s">
        <v>940</v>
      </c>
      <c r="F15" s="6"/>
      <c r="G15" s="6"/>
      <c r="H15" s="6"/>
    </row>
    <row r="16">
      <c r="A16" s="18" t="s">
        <v>941</v>
      </c>
      <c r="B16" s="18" t="s">
        <v>942</v>
      </c>
      <c r="C16" s="18" t="s">
        <v>103</v>
      </c>
      <c r="D16" s="18" t="s">
        <v>943</v>
      </c>
      <c r="E16" s="18" t="s">
        <v>944</v>
      </c>
      <c r="F16" s="6"/>
      <c r="G16" s="6"/>
      <c r="H16" s="6"/>
    </row>
    <row r="17" ht="54.75" customHeight="1">
      <c r="A17" s="9" t="s">
        <v>945</v>
      </c>
      <c r="B17" s="9" t="s">
        <v>946</v>
      </c>
      <c r="C17" s="9" t="s">
        <v>947</v>
      </c>
      <c r="D17" s="9" t="s">
        <v>948</v>
      </c>
      <c r="E17" s="9" t="s">
        <v>949</v>
      </c>
      <c r="F17" s="6"/>
      <c r="G17" s="6"/>
      <c r="H17" s="6"/>
    </row>
    <row r="18" ht="54.75" customHeight="1">
      <c r="A18" s="9" t="s">
        <v>950</v>
      </c>
      <c r="B18" s="9" t="s">
        <v>951</v>
      </c>
      <c r="C18" s="9" t="s">
        <v>952</v>
      </c>
      <c r="D18" s="9" t="s">
        <v>953</v>
      </c>
      <c r="E18" s="9" t="s">
        <v>954</v>
      </c>
      <c r="F18" s="6"/>
      <c r="G18" s="6"/>
      <c r="H18" s="6"/>
    </row>
    <row r="19" ht="54.75" customHeight="1">
      <c r="A19" s="9" t="s">
        <v>955</v>
      </c>
      <c r="B19" s="9" t="s">
        <v>956</v>
      </c>
      <c r="C19" s="9" t="s">
        <v>957</v>
      </c>
      <c r="D19" s="9" t="s">
        <v>958</v>
      </c>
      <c r="E19" s="9" t="s">
        <v>959</v>
      </c>
      <c r="F19" s="6"/>
      <c r="G19" s="6"/>
      <c r="H19" s="6"/>
    </row>
    <row r="20">
      <c r="A20" s="57"/>
      <c r="B20" s="57"/>
      <c r="C20" s="57"/>
      <c r="D20" s="57"/>
      <c r="E20" s="57"/>
      <c r="F20" s="6"/>
      <c r="G20" s="6"/>
      <c r="H20" s="6"/>
    </row>
    <row r="21">
      <c r="A21" s="3" t="s">
        <v>960</v>
      </c>
      <c r="F21" s="6"/>
      <c r="G21" s="6"/>
      <c r="H21" s="6"/>
    </row>
    <row r="22" ht="51.0" customHeight="1">
      <c r="A22" s="18" t="s">
        <v>963</v>
      </c>
      <c r="B22" s="18" t="s">
        <v>965</v>
      </c>
      <c r="C22" s="18" t="s">
        <v>966</v>
      </c>
      <c r="D22" s="18" t="s">
        <v>967</v>
      </c>
      <c r="E22" s="51"/>
      <c r="F22" s="6"/>
      <c r="G22" s="6"/>
      <c r="H22" s="6"/>
    </row>
    <row r="23" ht="51.0" customHeight="1">
      <c r="A23" s="9" t="s">
        <v>969</v>
      </c>
      <c r="B23" s="9">
        <v>19.0</v>
      </c>
      <c r="C23" s="9" t="s">
        <v>970</v>
      </c>
      <c r="D23" s="9" t="s">
        <v>281</v>
      </c>
      <c r="E23" s="14"/>
      <c r="F23" s="6"/>
      <c r="G23" s="6"/>
      <c r="H23" s="6"/>
    </row>
    <row r="24" ht="51.0" customHeight="1">
      <c r="A24" s="58" t="s">
        <v>971</v>
      </c>
      <c r="B24" s="58">
        <v>40.0</v>
      </c>
      <c r="C24" s="9" t="s">
        <v>973</v>
      </c>
      <c r="D24" s="9" t="s">
        <v>476</v>
      </c>
      <c r="E24" s="14"/>
      <c r="F24" s="6"/>
      <c r="G24" s="6"/>
      <c r="H24" s="6"/>
    </row>
    <row r="25" ht="51.0" customHeight="1">
      <c r="A25" s="58" t="s">
        <v>975</v>
      </c>
      <c r="B25" s="58">
        <v>41.0</v>
      </c>
      <c r="C25" s="9" t="s">
        <v>976</v>
      </c>
      <c r="D25" s="9" t="s">
        <v>476</v>
      </c>
      <c r="E25" s="14"/>
      <c r="F25" s="6"/>
      <c r="G25" s="6"/>
      <c r="H25" s="6"/>
    </row>
    <row r="26" ht="51.0" customHeight="1">
      <c r="A26" s="58" t="s">
        <v>979</v>
      </c>
      <c r="B26" s="58">
        <v>14.0</v>
      </c>
      <c r="C26" s="9" t="s">
        <v>981</v>
      </c>
      <c r="D26" s="9" t="s">
        <v>983</v>
      </c>
      <c r="E26" s="14"/>
      <c r="F26" s="6"/>
      <c r="G26" s="6"/>
      <c r="H26" s="6"/>
    </row>
    <row r="27" ht="51.0" customHeight="1">
      <c r="A27" s="58" t="s">
        <v>985</v>
      </c>
      <c r="B27" s="59">
        <f>B25-B24</f>
        <v>1</v>
      </c>
      <c r="C27" s="9" t="s">
        <v>995</v>
      </c>
      <c r="D27" s="9" t="s">
        <v>466</v>
      </c>
      <c r="E27" s="14"/>
      <c r="F27" s="6"/>
      <c r="G27" s="6"/>
      <c r="H27" s="6"/>
    </row>
    <row r="28" ht="51.0" customHeight="1">
      <c r="A28" s="58" t="s">
        <v>998</v>
      </c>
      <c r="B28" s="59">
        <f>B25-B23</f>
        <v>22</v>
      </c>
      <c r="C28" s="9" t="s">
        <v>1001</v>
      </c>
      <c r="D28" s="9" t="s">
        <v>466</v>
      </c>
      <c r="E28" s="14"/>
      <c r="F28" s="6"/>
      <c r="G28" s="6"/>
      <c r="H28" s="6"/>
    </row>
    <row r="29" ht="51.0" customHeight="1">
      <c r="A29" s="9" t="s">
        <v>1002</v>
      </c>
      <c r="B29" s="14" t="str">
        <f>IF(B27&gt;=B26,"WATCH","NO WATCH")</f>
        <v>NO WATCH</v>
      </c>
      <c r="C29" s="9" t="s">
        <v>1003</v>
      </c>
      <c r="D29" s="9" t="s">
        <v>1004</v>
      </c>
      <c r="E29" s="14"/>
      <c r="F29" s="6"/>
      <c r="G29" s="6"/>
      <c r="H29" s="6"/>
    </row>
    <row r="30">
      <c r="A30" s="3" t="s">
        <v>1005</v>
      </c>
      <c r="B30" s="3" t="str">
        <f>IF(B28&gt;=B26,"WATCH","NO WATCH")</f>
        <v>WATCH</v>
      </c>
      <c r="C30" s="3" t="s">
        <v>1006</v>
      </c>
      <c r="D30" s="3" t="s">
        <v>1004</v>
      </c>
      <c r="E30" s="3"/>
      <c r="F30" s="6"/>
      <c r="G30" s="6"/>
      <c r="H30" s="6"/>
    </row>
    <row r="31" ht="57.0" customHeight="1">
      <c r="A31" s="9" t="s">
        <v>1007</v>
      </c>
      <c r="B31" s="14">
        <f>B28-B27</f>
        <v>21</v>
      </c>
      <c r="F31" s="6"/>
      <c r="G31" s="6"/>
      <c r="H31" s="6"/>
    </row>
    <row r="32" ht="57.0" customHeight="1">
      <c r="A32" s="14"/>
      <c r="B32" s="14"/>
      <c r="F32" s="6"/>
      <c r="G32" s="6"/>
      <c r="H32" s="6"/>
    </row>
    <row r="33" ht="57.0" customHeight="1">
      <c r="A33" s="3" t="s">
        <v>1008</v>
      </c>
      <c r="F33" s="6"/>
      <c r="G33" s="6"/>
      <c r="H33" s="6"/>
    </row>
    <row r="34">
      <c r="A34" s="9" t="s">
        <v>1009</v>
      </c>
      <c r="B34" s="9" t="s">
        <v>1010</v>
      </c>
      <c r="C34" s="9" t="s">
        <v>1011</v>
      </c>
      <c r="D34" s="14"/>
      <c r="E34" s="14"/>
      <c r="F34" s="6"/>
      <c r="G34" s="6"/>
      <c r="H34" s="6"/>
    </row>
    <row r="35">
      <c r="A35" s="9" t="s">
        <v>1012</v>
      </c>
      <c r="B35" s="9" t="s">
        <v>1013</v>
      </c>
      <c r="C35" s="9" t="s">
        <v>1014</v>
      </c>
      <c r="D35" s="14"/>
      <c r="E35" s="14"/>
      <c r="F35" s="6"/>
      <c r="G35" s="6"/>
      <c r="H35" s="6"/>
    </row>
    <row r="36">
      <c r="A36" s="9" t="s">
        <v>1015</v>
      </c>
      <c r="B36" s="9" t="s">
        <v>1016</v>
      </c>
      <c r="C36" s="9" t="s">
        <v>1017</v>
      </c>
      <c r="D36" s="14"/>
      <c r="E36" s="14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</sheetData>
  <mergeCells count="10">
    <mergeCell ref="B31:E31"/>
    <mergeCell ref="B32:E32"/>
    <mergeCell ref="A33:E33"/>
    <mergeCell ref="A1:E1"/>
    <mergeCell ref="A6:E6"/>
    <mergeCell ref="A15:E15"/>
    <mergeCell ref="B2:E2"/>
    <mergeCell ref="B3:E3"/>
    <mergeCell ref="B4:E4"/>
    <mergeCell ref="A21:E2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5"/>
    <col customWidth="1" min="2" max="2" width="42.0"/>
    <col customWidth="1" min="3" max="3" width="56.38"/>
    <col customWidth="1" min="4" max="4" width="35.75"/>
    <col customWidth="1" min="5" max="5" width="48.25"/>
  </cols>
  <sheetData>
    <row r="1">
      <c r="A1" s="4" t="s">
        <v>1018</v>
      </c>
    </row>
    <row r="2" ht="62.25" customHeight="1">
      <c r="A2" s="5" t="s">
        <v>5</v>
      </c>
      <c r="B2" s="5" t="s">
        <v>1019</v>
      </c>
    </row>
    <row r="3" ht="62.25" customHeight="1">
      <c r="A3" s="5" t="s">
        <v>1020</v>
      </c>
      <c r="B3" s="5" t="s">
        <v>1021</v>
      </c>
    </row>
    <row r="4">
      <c r="A4" s="28"/>
      <c r="B4" s="28"/>
      <c r="C4" s="28"/>
      <c r="D4" s="28"/>
      <c r="E4" s="28"/>
    </row>
    <row r="5">
      <c r="A5" s="4" t="s">
        <v>1022</v>
      </c>
    </row>
    <row r="6">
      <c r="A6" s="54" t="s">
        <v>1024</v>
      </c>
      <c r="B6" s="54" t="s">
        <v>1025</v>
      </c>
      <c r="C6" s="54" t="s">
        <v>1026</v>
      </c>
      <c r="D6" s="54" t="s">
        <v>1027</v>
      </c>
      <c r="E6" s="54" t="s">
        <v>1028</v>
      </c>
    </row>
    <row r="7" ht="60.0" customHeight="1">
      <c r="A7" s="5" t="s">
        <v>1029</v>
      </c>
      <c r="B7" s="5" t="s">
        <v>1030</v>
      </c>
      <c r="C7" s="5" t="s">
        <v>1031</v>
      </c>
      <c r="D7" s="5" t="s">
        <v>1033</v>
      </c>
      <c r="E7" s="5" t="s">
        <v>1034</v>
      </c>
    </row>
    <row r="8" ht="60.0" customHeight="1">
      <c r="A8" s="5" t="s">
        <v>1036</v>
      </c>
      <c r="B8" s="5" t="s">
        <v>1037</v>
      </c>
      <c r="C8" s="5" t="s">
        <v>1039</v>
      </c>
      <c r="D8" s="5" t="s">
        <v>1040</v>
      </c>
      <c r="E8" s="5" t="s">
        <v>1042</v>
      </c>
    </row>
    <row r="9" ht="60.0" customHeight="1">
      <c r="A9" s="5" t="s">
        <v>1043</v>
      </c>
      <c r="B9" s="5" t="s">
        <v>1044</v>
      </c>
      <c r="C9" s="5" t="s">
        <v>1045</v>
      </c>
      <c r="D9" s="5" t="s">
        <v>1046</v>
      </c>
      <c r="E9" s="5" t="s">
        <v>1047</v>
      </c>
    </row>
    <row r="10">
      <c r="A10" s="28"/>
      <c r="B10" s="28"/>
      <c r="C10" s="28"/>
      <c r="D10" s="28"/>
      <c r="E10" s="28"/>
    </row>
    <row r="11">
      <c r="A11" s="4" t="s">
        <v>1049</v>
      </c>
    </row>
    <row r="12">
      <c r="A12" s="54" t="s">
        <v>95</v>
      </c>
      <c r="B12" s="54" t="s">
        <v>525</v>
      </c>
      <c r="C12" s="54" t="s">
        <v>1051</v>
      </c>
      <c r="D12" s="54" t="s">
        <v>1052</v>
      </c>
      <c r="E12" s="54" t="s">
        <v>103</v>
      </c>
    </row>
    <row r="13" ht="60.0" customHeight="1">
      <c r="A13" s="5" t="s">
        <v>1055</v>
      </c>
      <c r="B13" s="5" t="s">
        <v>1057</v>
      </c>
      <c r="C13" s="5" t="s">
        <v>1059</v>
      </c>
      <c r="D13" s="5" t="s">
        <v>1061</v>
      </c>
      <c r="E13" s="5" t="s">
        <v>1063</v>
      </c>
    </row>
    <row r="14" ht="60.0" customHeight="1">
      <c r="A14" s="5" t="s">
        <v>1065</v>
      </c>
      <c r="B14" s="5" t="s">
        <v>1067</v>
      </c>
      <c r="C14" s="5" t="s">
        <v>1069</v>
      </c>
      <c r="D14" s="5" t="s">
        <v>1071</v>
      </c>
      <c r="E14" s="5" t="s">
        <v>1073</v>
      </c>
    </row>
    <row r="15" ht="60.0" customHeight="1">
      <c r="A15" s="5" t="s">
        <v>1075</v>
      </c>
      <c r="B15" s="5" t="s">
        <v>1077</v>
      </c>
      <c r="C15" s="5" t="s">
        <v>1079</v>
      </c>
      <c r="D15" s="5" t="s">
        <v>1081</v>
      </c>
      <c r="E15" s="5" t="s">
        <v>1082</v>
      </c>
    </row>
    <row r="16" ht="60.0" customHeight="1">
      <c r="A16" s="5" t="s">
        <v>1084</v>
      </c>
      <c r="B16" s="5" t="s">
        <v>1086</v>
      </c>
      <c r="C16" s="5" t="s">
        <v>1088</v>
      </c>
      <c r="D16" s="5" t="s">
        <v>1090</v>
      </c>
      <c r="E16" s="5" t="s">
        <v>1092</v>
      </c>
    </row>
    <row r="17" ht="60.0" customHeight="1">
      <c r="A17" s="5" t="s">
        <v>1094</v>
      </c>
      <c r="B17" s="5" t="s">
        <v>1096</v>
      </c>
      <c r="C17" s="5" t="s">
        <v>1098</v>
      </c>
      <c r="D17" s="5" t="s">
        <v>1099</v>
      </c>
      <c r="E17" s="5" t="s">
        <v>1102</v>
      </c>
    </row>
    <row r="18" ht="60.0" customHeight="1">
      <c r="A18" s="5" t="s">
        <v>1105</v>
      </c>
      <c r="B18" s="5" t="s">
        <v>1107</v>
      </c>
      <c r="C18" s="5" t="s">
        <v>1108</v>
      </c>
      <c r="D18" s="5" t="s">
        <v>1109</v>
      </c>
      <c r="E18" s="5" t="s">
        <v>1110</v>
      </c>
    </row>
    <row r="19" ht="60.0" customHeight="1">
      <c r="A19" s="5" t="s">
        <v>1113</v>
      </c>
      <c r="B19" s="5" t="s">
        <v>1115</v>
      </c>
      <c r="C19" s="5" t="s">
        <v>1128</v>
      </c>
      <c r="D19" s="5" t="s">
        <v>1129</v>
      </c>
      <c r="E19" s="5" t="s">
        <v>1132</v>
      </c>
    </row>
    <row r="20" ht="60.0" customHeight="1">
      <c r="A20" s="5" t="s">
        <v>1134</v>
      </c>
      <c r="B20" s="5" t="s">
        <v>1137</v>
      </c>
      <c r="C20" s="5" t="s">
        <v>1140</v>
      </c>
      <c r="D20" s="5" t="s">
        <v>1143</v>
      </c>
      <c r="E20" s="5" t="s">
        <v>1146</v>
      </c>
    </row>
    <row r="21" ht="60.0" customHeight="1">
      <c r="A21" s="28"/>
      <c r="B21" s="28"/>
      <c r="C21" s="28"/>
      <c r="D21" s="28"/>
      <c r="E21" s="28"/>
    </row>
    <row r="22" ht="60.0" customHeight="1">
      <c r="A22" s="4" t="s">
        <v>1156</v>
      </c>
    </row>
    <row r="23" ht="60.0" customHeight="1">
      <c r="A23" s="54" t="s">
        <v>1161</v>
      </c>
      <c r="B23" s="54" t="s">
        <v>1165</v>
      </c>
      <c r="C23" s="54" t="s">
        <v>1167</v>
      </c>
      <c r="D23" s="54" t="s">
        <v>1170</v>
      </c>
      <c r="E23" s="54" t="s">
        <v>1171</v>
      </c>
    </row>
    <row r="24" ht="60.0" customHeight="1">
      <c r="A24" s="54" t="s">
        <v>1176</v>
      </c>
      <c r="B24" s="54" t="s">
        <v>1179</v>
      </c>
      <c r="C24" s="54" t="s">
        <v>1183</v>
      </c>
      <c r="D24" s="54" t="s">
        <v>1186</v>
      </c>
      <c r="E24" s="54" t="s">
        <v>1189</v>
      </c>
    </row>
    <row r="25" ht="60.0" customHeight="1">
      <c r="A25" s="5" t="s">
        <v>1193</v>
      </c>
      <c r="B25" s="5" t="s">
        <v>1196</v>
      </c>
      <c r="C25" s="5" t="s">
        <v>1197</v>
      </c>
      <c r="D25" s="5" t="s">
        <v>1200</v>
      </c>
      <c r="E25" s="5" t="s">
        <v>1202</v>
      </c>
    </row>
    <row r="26" ht="60.0" customHeight="1">
      <c r="A26" s="5" t="s">
        <v>1205</v>
      </c>
      <c r="B26" s="5" t="s">
        <v>1209</v>
      </c>
      <c r="C26" s="5" t="s">
        <v>1212</v>
      </c>
      <c r="D26" s="5" t="s">
        <v>1215</v>
      </c>
      <c r="E26" s="5" t="s">
        <v>1218</v>
      </c>
    </row>
    <row r="27" ht="60.0" customHeight="1">
      <c r="A27" s="5" t="s">
        <v>1222</v>
      </c>
      <c r="B27" s="5" t="s">
        <v>1225</v>
      </c>
      <c r="C27" s="5" t="s">
        <v>1228</v>
      </c>
      <c r="D27" s="5" t="s">
        <v>1230</v>
      </c>
      <c r="E27" s="5" t="s">
        <v>1233</v>
      </c>
    </row>
    <row r="28" ht="59.25" customHeight="1">
      <c r="A28" s="28"/>
      <c r="B28" s="28"/>
      <c r="C28" s="28"/>
      <c r="D28" s="28"/>
      <c r="E28" s="28"/>
    </row>
    <row r="29">
      <c r="A29" s="4" t="s">
        <v>1244</v>
      </c>
    </row>
    <row r="30">
      <c r="A30" s="54" t="s">
        <v>1251</v>
      </c>
      <c r="B30" s="54" t="s">
        <v>1254</v>
      </c>
      <c r="C30" s="54" t="s">
        <v>1256</v>
      </c>
      <c r="D30" s="54" t="s">
        <v>967</v>
      </c>
      <c r="E30" s="54"/>
    </row>
    <row r="31">
      <c r="A31" s="54" t="s">
        <v>1260</v>
      </c>
      <c r="B31" s="54">
        <v>21.0</v>
      </c>
      <c r="C31" s="54" t="s">
        <v>1264</v>
      </c>
      <c r="D31" s="54" t="s">
        <v>61</v>
      </c>
      <c r="E31" s="63"/>
    </row>
    <row r="32" ht="55.5" customHeight="1">
      <c r="A32" s="5" t="s">
        <v>1275</v>
      </c>
      <c r="B32" s="5">
        <v>14.0</v>
      </c>
      <c r="C32" s="5" t="s">
        <v>1278</v>
      </c>
      <c r="D32" s="5" t="s">
        <v>1281</v>
      </c>
      <c r="E32" s="28"/>
    </row>
    <row r="33" ht="55.5" customHeight="1">
      <c r="A33" s="5" t="s">
        <v>1285</v>
      </c>
      <c r="B33" s="28">
        <f>B31+B32</f>
        <v>35</v>
      </c>
      <c r="C33" s="5" t="s">
        <v>1308</v>
      </c>
      <c r="D33" s="5" t="s">
        <v>466</v>
      </c>
      <c r="E33" s="28"/>
    </row>
    <row r="34" ht="55.5" customHeight="1">
      <c r="A34" s="5" t="s">
        <v>1314</v>
      </c>
      <c r="B34" s="5" t="s">
        <v>1319</v>
      </c>
    </row>
    <row r="35" ht="55.5" customHeight="1">
      <c r="A35" s="5" t="s">
        <v>1325</v>
      </c>
      <c r="B35" s="5" t="s">
        <v>1329</v>
      </c>
      <c r="C35" s="5" t="s">
        <v>1332</v>
      </c>
      <c r="D35" s="28"/>
      <c r="E35" s="28"/>
    </row>
    <row r="36" ht="55.5" customHeight="1">
      <c r="A36" s="5" t="s">
        <v>1335</v>
      </c>
      <c r="B36" s="5" t="s">
        <v>1337</v>
      </c>
      <c r="C36" s="5" t="s">
        <v>1339</v>
      </c>
      <c r="D36" s="28"/>
      <c r="E36" s="28"/>
    </row>
    <row r="37" ht="55.5" customHeight="1">
      <c r="A37" s="5" t="s">
        <v>1345</v>
      </c>
      <c r="B37" s="5" t="s">
        <v>1349</v>
      </c>
      <c r="C37" s="5" t="s">
        <v>1351</v>
      </c>
      <c r="D37" s="28"/>
      <c r="E37" s="28"/>
    </row>
    <row r="38" ht="55.5" customHeight="1">
      <c r="A38" s="28"/>
      <c r="B38" s="28"/>
      <c r="C38" s="28"/>
      <c r="D38" s="28"/>
      <c r="E38" s="28"/>
    </row>
    <row r="39" ht="57.0" customHeight="1">
      <c r="A39" s="4" t="s">
        <v>1359</v>
      </c>
    </row>
    <row r="40" ht="57.0" customHeight="1">
      <c r="A40" s="56" t="s">
        <v>1365</v>
      </c>
      <c r="B40" s="56" t="s">
        <v>1369</v>
      </c>
    </row>
    <row r="41" ht="57.0" customHeight="1">
      <c r="A41" s="56" t="s">
        <v>1374</v>
      </c>
      <c r="B41" s="56" t="s">
        <v>1375</v>
      </c>
    </row>
    <row r="42" ht="57.0" customHeight="1">
      <c r="A42" s="5" t="s">
        <v>756</v>
      </c>
      <c r="B42" s="5" t="s">
        <v>1377</v>
      </c>
    </row>
    <row r="43" ht="57.0" customHeight="1">
      <c r="A43" s="5" t="s">
        <v>1381</v>
      </c>
      <c r="B43" s="5" t="s">
        <v>1384</v>
      </c>
    </row>
    <row r="44" ht="62.25" customHeight="1"/>
  </sheetData>
  <mergeCells count="13">
    <mergeCell ref="B41:E41"/>
    <mergeCell ref="B42:E42"/>
    <mergeCell ref="B43:E43"/>
    <mergeCell ref="A39:E39"/>
    <mergeCell ref="B40:E40"/>
    <mergeCell ref="A1:E1"/>
    <mergeCell ref="A5:E5"/>
    <mergeCell ref="A11:E11"/>
    <mergeCell ref="B2:E2"/>
    <mergeCell ref="B3:E3"/>
    <mergeCell ref="A22:E22"/>
    <mergeCell ref="A29:E29"/>
    <mergeCell ref="B34:E3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45.13"/>
    <col customWidth="1" min="3" max="3" width="50.13"/>
    <col customWidth="1" min="4" max="4" width="36.38"/>
    <col customWidth="1" min="5" max="5" width="37.63"/>
  </cols>
  <sheetData>
    <row r="1">
      <c r="A1" s="3" t="s">
        <v>1023</v>
      </c>
      <c r="F1" s="6"/>
      <c r="G1" s="6"/>
      <c r="H1" s="6"/>
    </row>
    <row r="2" ht="63.0" customHeight="1">
      <c r="A2" s="9" t="s">
        <v>1032</v>
      </c>
      <c r="B2" s="9" t="s">
        <v>1035</v>
      </c>
      <c r="F2" s="6"/>
      <c r="G2" s="6"/>
      <c r="H2" s="6"/>
    </row>
    <row r="3" ht="63.0" customHeight="1">
      <c r="A3" s="9" t="s">
        <v>1038</v>
      </c>
      <c r="B3" s="9" t="s">
        <v>1041</v>
      </c>
      <c r="F3" s="6"/>
      <c r="G3" s="6"/>
      <c r="H3" s="6"/>
    </row>
    <row r="4">
      <c r="A4" s="14"/>
      <c r="B4" s="14"/>
      <c r="C4" s="14"/>
      <c r="D4" s="14"/>
      <c r="E4" s="14"/>
      <c r="F4" s="6"/>
      <c r="G4" s="6"/>
      <c r="H4" s="6"/>
    </row>
    <row r="5">
      <c r="A5" s="3" t="s">
        <v>1048</v>
      </c>
      <c r="F5" s="6"/>
      <c r="G5" s="6"/>
      <c r="H5" s="6"/>
    </row>
    <row r="6">
      <c r="A6" s="18" t="s">
        <v>321</v>
      </c>
      <c r="B6" s="18" t="s">
        <v>1050</v>
      </c>
      <c r="C6" s="18" t="s">
        <v>252</v>
      </c>
      <c r="D6" s="18" t="s">
        <v>1053</v>
      </c>
      <c r="E6" s="18" t="s">
        <v>1054</v>
      </c>
      <c r="F6" s="6"/>
      <c r="G6" s="6"/>
      <c r="H6" s="6"/>
    </row>
    <row r="7" ht="63.0" customHeight="1">
      <c r="A7" s="9" t="s">
        <v>1056</v>
      </c>
      <c r="B7" s="9" t="s">
        <v>1058</v>
      </c>
      <c r="C7" s="9" t="s">
        <v>1060</v>
      </c>
      <c r="D7" s="9" t="s">
        <v>1062</v>
      </c>
      <c r="E7" s="9" t="s">
        <v>1064</v>
      </c>
      <c r="F7" s="6"/>
      <c r="G7" s="6"/>
      <c r="H7" s="6"/>
    </row>
    <row r="8" ht="63.0" customHeight="1">
      <c r="A8" s="9" t="s">
        <v>1066</v>
      </c>
      <c r="B8" s="9" t="s">
        <v>1068</v>
      </c>
      <c r="C8" s="9" t="s">
        <v>1070</v>
      </c>
      <c r="D8" s="9" t="s">
        <v>1072</v>
      </c>
      <c r="E8" s="9" t="s">
        <v>1074</v>
      </c>
      <c r="F8" s="6"/>
      <c r="G8" s="6"/>
      <c r="H8" s="6"/>
    </row>
    <row r="9" ht="63.0" customHeight="1">
      <c r="A9" s="9" t="s">
        <v>1076</v>
      </c>
      <c r="B9" s="9" t="s">
        <v>1078</v>
      </c>
      <c r="C9" s="9" t="s">
        <v>1080</v>
      </c>
      <c r="D9" s="9" t="s">
        <v>1083</v>
      </c>
      <c r="E9" s="9" t="s">
        <v>1085</v>
      </c>
      <c r="F9" s="6"/>
      <c r="G9" s="6"/>
      <c r="H9" s="6"/>
    </row>
    <row r="10" ht="63.0" customHeight="1">
      <c r="A10" s="9" t="s">
        <v>1087</v>
      </c>
      <c r="B10" s="9" t="s">
        <v>1089</v>
      </c>
      <c r="C10" s="9" t="s">
        <v>1091</v>
      </c>
      <c r="D10" s="9" t="s">
        <v>1093</v>
      </c>
      <c r="E10" s="9" t="s">
        <v>1095</v>
      </c>
      <c r="F10" s="6"/>
      <c r="G10" s="6"/>
      <c r="H10" s="6"/>
    </row>
    <row r="11" ht="63.0" customHeight="1">
      <c r="A11" s="9" t="s">
        <v>1097</v>
      </c>
      <c r="B11" s="9" t="s">
        <v>1100</v>
      </c>
      <c r="C11" s="9" t="s">
        <v>1103</v>
      </c>
      <c r="D11" s="9" t="s">
        <v>1104</v>
      </c>
      <c r="E11" s="9" t="s">
        <v>1106</v>
      </c>
      <c r="F11" s="6"/>
      <c r="G11" s="6"/>
      <c r="H11" s="6"/>
    </row>
    <row r="12">
      <c r="A12" s="14"/>
      <c r="B12" s="14"/>
      <c r="C12" s="14"/>
      <c r="D12" s="14"/>
      <c r="E12" s="14"/>
      <c r="F12" s="6"/>
      <c r="G12" s="6"/>
      <c r="H12" s="6"/>
    </row>
    <row r="13">
      <c r="A13" s="3" t="s">
        <v>1112</v>
      </c>
      <c r="F13" s="6"/>
      <c r="G13" s="6"/>
      <c r="H13" s="6"/>
    </row>
    <row r="14">
      <c r="A14" s="18" t="s">
        <v>1116</v>
      </c>
      <c r="B14" s="18" t="s">
        <v>1118</v>
      </c>
      <c r="C14" s="18" t="s">
        <v>1119</v>
      </c>
      <c r="D14" s="18" t="s">
        <v>1120</v>
      </c>
      <c r="E14" s="18" t="s">
        <v>1121</v>
      </c>
      <c r="F14" s="6"/>
      <c r="G14" s="6"/>
      <c r="H14" s="6"/>
    </row>
    <row r="15" ht="60.0" customHeight="1">
      <c r="A15" s="9" t="s">
        <v>1122</v>
      </c>
      <c r="B15" s="9" t="s">
        <v>1123</v>
      </c>
      <c r="C15" s="9" t="s">
        <v>1124</v>
      </c>
      <c r="D15" s="9" t="s">
        <v>1126</v>
      </c>
      <c r="E15" s="9" t="s">
        <v>1127</v>
      </c>
      <c r="F15" s="6"/>
      <c r="G15" s="6"/>
      <c r="H15" s="6"/>
    </row>
    <row r="16" ht="60.0" customHeight="1">
      <c r="A16" s="9" t="s">
        <v>1131</v>
      </c>
      <c r="B16" s="9" t="s">
        <v>1133</v>
      </c>
      <c r="C16" s="9" t="s">
        <v>1136</v>
      </c>
      <c r="D16" s="9" t="s">
        <v>1139</v>
      </c>
      <c r="E16" s="9" t="s">
        <v>1141</v>
      </c>
      <c r="F16" s="6"/>
      <c r="G16" s="6"/>
      <c r="H16" s="6"/>
    </row>
    <row r="17" ht="60.0" customHeight="1">
      <c r="A17" s="9" t="s">
        <v>1145</v>
      </c>
      <c r="B17" s="9" t="s">
        <v>1148</v>
      </c>
      <c r="C17" s="9" t="s">
        <v>1150</v>
      </c>
      <c r="D17" s="9" t="s">
        <v>1152</v>
      </c>
      <c r="E17" s="9" t="s">
        <v>1154</v>
      </c>
      <c r="F17" s="6"/>
      <c r="G17" s="6"/>
      <c r="H17" s="6"/>
    </row>
    <row r="18">
      <c r="A18" s="14"/>
      <c r="B18" s="14"/>
      <c r="C18" s="14"/>
      <c r="D18" s="14"/>
      <c r="E18" s="14"/>
      <c r="F18" s="6"/>
      <c r="G18" s="6"/>
      <c r="H18" s="6"/>
    </row>
    <row r="19">
      <c r="A19" s="3" t="s">
        <v>1163</v>
      </c>
      <c r="F19" s="6"/>
      <c r="G19" s="6"/>
      <c r="H19" s="6"/>
    </row>
    <row r="20">
      <c r="A20" s="18" t="s">
        <v>1168</v>
      </c>
      <c r="B20" s="18" t="s">
        <v>333</v>
      </c>
      <c r="C20" s="18" t="s">
        <v>1173</v>
      </c>
      <c r="D20" s="18" t="s">
        <v>1175</v>
      </c>
      <c r="E20" s="18" t="s">
        <v>1178</v>
      </c>
      <c r="F20" s="6"/>
      <c r="G20" s="6"/>
      <c r="H20" s="6"/>
    </row>
    <row r="21" ht="63.75" customHeight="1">
      <c r="A21" s="9" t="s">
        <v>1181</v>
      </c>
      <c r="B21" s="9" t="s">
        <v>1185</v>
      </c>
      <c r="C21" s="9" t="s">
        <v>1187</v>
      </c>
      <c r="D21" s="9" t="s">
        <v>1191</v>
      </c>
      <c r="E21" s="9" t="s">
        <v>1195</v>
      </c>
      <c r="F21" s="6"/>
      <c r="G21" s="6"/>
      <c r="H21" s="6"/>
    </row>
    <row r="22" ht="63.75" customHeight="1">
      <c r="A22" s="9" t="s">
        <v>1198</v>
      </c>
      <c r="B22" s="9" t="s">
        <v>1201</v>
      </c>
      <c r="C22" s="9" t="s">
        <v>111</v>
      </c>
      <c r="D22" s="9" t="s">
        <v>1207</v>
      </c>
      <c r="E22" s="9" t="s">
        <v>1210</v>
      </c>
      <c r="F22" s="6"/>
      <c r="G22" s="6"/>
      <c r="H22" s="6"/>
    </row>
    <row r="23" ht="63.75" customHeight="1">
      <c r="A23" s="9" t="s">
        <v>1214</v>
      </c>
      <c r="B23" s="9" t="s">
        <v>1217</v>
      </c>
      <c r="C23" s="9" t="s">
        <v>1220</v>
      </c>
      <c r="D23" s="9" t="s">
        <v>1224</v>
      </c>
      <c r="E23" s="9" t="s">
        <v>1226</v>
      </c>
      <c r="F23" s="6"/>
      <c r="G23" s="6"/>
      <c r="H23" s="6"/>
    </row>
    <row r="24" ht="63.75" customHeight="1">
      <c r="A24" s="9" t="s">
        <v>1232</v>
      </c>
      <c r="B24" s="9" t="s">
        <v>1234</v>
      </c>
      <c r="C24" s="9" t="s">
        <v>1236</v>
      </c>
      <c r="D24" s="9" t="s">
        <v>1238</v>
      </c>
      <c r="E24" s="9" t="s">
        <v>1240</v>
      </c>
      <c r="F24" s="6"/>
      <c r="G24" s="6"/>
      <c r="H24" s="6"/>
    </row>
    <row r="25">
      <c r="A25" s="14"/>
      <c r="B25" s="14"/>
      <c r="C25" s="14"/>
      <c r="D25" s="14"/>
      <c r="E25" s="14"/>
      <c r="F25" s="6"/>
      <c r="G25" s="6"/>
      <c r="H25" s="6"/>
    </row>
    <row r="26" ht="46.5" customHeight="1">
      <c r="A26" s="3" t="s">
        <v>1262</v>
      </c>
      <c r="F26" s="6"/>
      <c r="G26" s="6"/>
      <c r="H26" s="6"/>
    </row>
    <row r="27" ht="46.5" customHeight="1">
      <c r="A27" s="18" t="s">
        <v>1266</v>
      </c>
      <c r="B27" s="18" t="s">
        <v>30</v>
      </c>
      <c r="C27" s="18" t="s">
        <v>1268</v>
      </c>
      <c r="D27" s="18" t="s">
        <v>1269</v>
      </c>
      <c r="E27" s="18" t="s">
        <v>308</v>
      </c>
      <c r="F27" s="6"/>
      <c r="G27" s="6"/>
      <c r="H27" s="6"/>
    </row>
    <row r="28" ht="46.5" customHeight="1">
      <c r="A28" s="9" t="s">
        <v>1276</v>
      </c>
      <c r="B28" s="9">
        <v>2.0</v>
      </c>
      <c r="C28" s="9" t="s">
        <v>1280</v>
      </c>
      <c r="D28" s="9" t="s">
        <v>1283</v>
      </c>
      <c r="E28" s="9" t="s">
        <v>4</v>
      </c>
      <c r="F28" s="6"/>
      <c r="G28" s="6"/>
      <c r="H28" s="6"/>
    </row>
    <row r="29" ht="46.5" customHeight="1">
      <c r="A29" s="9" t="s">
        <v>1286</v>
      </c>
      <c r="B29" s="9">
        <v>50.0</v>
      </c>
      <c r="C29" s="9" t="s">
        <v>1287</v>
      </c>
      <c r="D29" s="9" t="s">
        <v>1288</v>
      </c>
      <c r="E29" s="9" t="s">
        <v>4</v>
      </c>
      <c r="F29" s="6"/>
      <c r="G29" s="6"/>
      <c r="H29" s="6"/>
    </row>
    <row r="30" ht="46.5" customHeight="1">
      <c r="A30" s="9" t="s">
        <v>1290</v>
      </c>
      <c r="B30" s="9">
        <v>1000.0</v>
      </c>
      <c r="C30" s="9" t="s">
        <v>1309</v>
      </c>
      <c r="D30" s="9" t="s">
        <v>476</v>
      </c>
      <c r="E30" s="9" t="s">
        <v>4</v>
      </c>
      <c r="F30" s="6"/>
      <c r="G30" s="6"/>
      <c r="H30" s="6"/>
    </row>
    <row r="31" ht="46.5" customHeight="1">
      <c r="A31" s="9" t="s">
        <v>1316</v>
      </c>
      <c r="B31" s="9">
        <v>100.0</v>
      </c>
      <c r="C31" s="9" t="s">
        <v>1321</v>
      </c>
      <c r="D31" s="9" t="s">
        <v>476</v>
      </c>
      <c r="E31" s="9" t="s">
        <v>4</v>
      </c>
      <c r="F31" s="6"/>
      <c r="G31" s="6"/>
      <c r="H31" s="6"/>
    </row>
    <row r="32" ht="46.5" customHeight="1">
      <c r="A32" s="9" t="s">
        <v>1327</v>
      </c>
      <c r="B32" s="9">
        <v>1000.0</v>
      </c>
      <c r="C32" s="9" t="s">
        <v>1330</v>
      </c>
      <c r="D32" s="9" t="s">
        <v>476</v>
      </c>
      <c r="E32" s="9" t="s">
        <v>4</v>
      </c>
      <c r="F32" s="6"/>
      <c r="G32" s="6"/>
      <c r="H32" s="6"/>
    </row>
    <row r="33" ht="46.5" customHeight="1">
      <c r="A33" s="9" t="s">
        <v>1333</v>
      </c>
      <c r="B33" s="9">
        <v>230.0</v>
      </c>
      <c r="C33" s="9" t="s">
        <v>1330</v>
      </c>
      <c r="D33" s="9" t="s">
        <v>476</v>
      </c>
      <c r="E33" s="9" t="s">
        <v>4</v>
      </c>
      <c r="F33" s="6"/>
      <c r="G33" s="6"/>
      <c r="H33" s="6"/>
    </row>
    <row r="34" ht="46.5" customHeight="1">
      <c r="A34" s="9" t="s">
        <v>1341</v>
      </c>
      <c r="B34" s="13">
        <f>IFERROR(B31/B30,"")</f>
        <v>0.1</v>
      </c>
      <c r="C34" s="9" t="s">
        <v>1378</v>
      </c>
      <c r="D34" s="9" t="s">
        <v>466</v>
      </c>
      <c r="E34" s="9" t="s">
        <v>4</v>
      </c>
      <c r="F34" s="6"/>
      <c r="G34" s="6"/>
      <c r="H34" s="6"/>
    </row>
    <row r="35" ht="46.5" customHeight="1">
      <c r="A35" s="9" t="s">
        <v>1386</v>
      </c>
      <c r="B35" s="13">
        <f>IFERROR(B33/B32,"")</f>
        <v>0.23</v>
      </c>
      <c r="C35" s="9" t="s">
        <v>1378</v>
      </c>
      <c r="D35" s="9" t="s">
        <v>466</v>
      </c>
      <c r="E35" s="9" t="s">
        <v>4</v>
      </c>
      <c r="F35" s="6"/>
      <c r="G35" s="6"/>
      <c r="H35" s="6"/>
    </row>
    <row r="36" ht="46.5" customHeight="1">
      <c r="A36" s="9" t="s">
        <v>1411</v>
      </c>
      <c r="B36" s="64">
        <f>IFERROR(B35/B34,"")</f>
        <v>2.3</v>
      </c>
      <c r="C36" s="9" t="s">
        <v>1434</v>
      </c>
      <c r="D36" s="9" t="s">
        <v>466</v>
      </c>
      <c r="E36" s="9" t="s">
        <v>4</v>
      </c>
      <c r="F36" s="6"/>
      <c r="G36" s="6"/>
      <c r="H36" s="6"/>
    </row>
    <row r="37" ht="46.5" customHeight="1">
      <c r="A37" s="9" t="s">
        <v>1435</v>
      </c>
      <c r="B37" s="10">
        <v>0.2</v>
      </c>
      <c r="C37" s="9" t="s">
        <v>1436</v>
      </c>
      <c r="D37" s="9" t="s">
        <v>476</v>
      </c>
      <c r="E37" s="9" t="s">
        <v>4</v>
      </c>
      <c r="F37" s="6"/>
      <c r="G37" s="6"/>
      <c r="H37" s="6"/>
    </row>
    <row r="38" ht="46.5" customHeight="1">
      <c r="A38" s="9" t="s">
        <v>1437</v>
      </c>
      <c r="B38" s="10">
        <v>0.2</v>
      </c>
      <c r="C38" s="9" t="s">
        <v>1438</v>
      </c>
      <c r="D38" s="9" t="s">
        <v>476</v>
      </c>
      <c r="E38" s="9" t="s">
        <v>4</v>
      </c>
      <c r="F38" s="6"/>
      <c r="G38" s="6"/>
      <c r="H38" s="6"/>
    </row>
    <row r="39" ht="46.5" customHeight="1">
      <c r="A39" s="9" t="s">
        <v>1439</v>
      </c>
      <c r="B39" s="13">
        <f>IF(OR(B37="",B38=""),"",B38-B37)</f>
        <v>0</v>
      </c>
      <c r="C39" s="9" t="s">
        <v>1443</v>
      </c>
      <c r="D39" s="9" t="s">
        <v>466</v>
      </c>
      <c r="E39" s="9" t="s">
        <v>4</v>
      </c>
      <c r="F39" s="6"/>
      <c r="G39" s="6"/>
      <c r="H39" s="6"/>
    </row>
    <row r="40">
      <c r="A40" s="9" t="s">
        <v>1444</v>
      </c>
      <c r="B40" s="65" t="str">
        <f>IF(OR(B34="",B35=""),"UNKNOWN",IF(B32&lt;B29,"INSUFFICIENT DATA",IF(OR(B37="",B38=""),IF(B36&gt;=B28,"INVESTIGATE — EXECUTION UNKNOWN","NO RATE ALERT — CHECK RECOVERED"),IF(AND(B36&gt;=B28,B39&lt;=0),"INVESTIGATE","NO RATE ALERT — CHECK RECOVERED"))))</f>
        <v>INVESTIGATE</v>
      </c>
      <c r="C40" s="9" t="s">
        <v>1467</v>
      </c>
      <c r="D40" s="9" t="s">
        <v>1468</v>
      </c>
      <c r="E40" s="9" t="s">
        <v>1469</v>
      </c>
      <c r="F40" s="6"/>
      <c r="G40" s="6"/>
      <c r="H40" s="6"/>
    </row>
    <row r="41">
      <c r="A41" s="14"/>
      <c r="B41" s="14"/>
      <c r="C41" s="14"/>
      <c r="D41" s="14"/>
      <c r="E41" s="14"/>
      <c r="F41" s="6"/>
      <c r="G41" s="6"/>
      <c r="H41" s="6"/>
    </row>
    <row r="42" ht="61.5" customHeight="1">
      <c r="A42" s="3" t="s">
        <v>1470</v>
      </c>
      <c r="F42" s="6"/>
      <c r="G42" s="6"/>
      <c r="H42" s="6"/>
    </row>
    <row r="43" ht="61.5" customHeight="1">
      <c r="A43" s="18" t="s">
        <v>325</v>
      </c>
      <c r="B43" s="18" t="s">
        <v>1471</v>
      </c>
      <c r="C43" s="18" t="s">
        <v>1472</v>
      </c>
      <c r="D43" s="18" t="s">
        <v>1473</v>
      </c>
      <c r="E43" s="18" t="s">
        <v>1474</v>
      </c>
      <c r="F43" s="6"/>
      <c r="G43" s="6"/>
      <c r="H43" s="6"/>
    </row>
    <row r="44" ht="61.5" customHeight="1">
      <c r="A44" s="9" t="s">
        <v>1475</v>
      </c>
      <c r="B44" s="9" t="s">
        <v>1476</v>
      </c>
      <c r="C44" s="9" t="s">
        <v>1477</v>
      </c>
      <c r="D44" s="9" t="s">
        <v>1478</v>
      </c>
      <c r="E44" s="9" t="s">
        <v>1479</v>
      </c>
      <c r="F44" s="6"/>
      <c r="G44" s="6"/>
      <c r="H44" s="6"/>
    </row>
    <row r="45" ht="61.5" customHeight="1">
      <c r="A45" s="9" t="s">
        <v>1480</v>
      </c>
      <c r="B45" s="9" t="s">
        <v>1481</v>
      </c>
      <c r="C45" s="9" t="s">
        <v>1482</v>
      </c>
      <c r="D45" s="9" t="s">
        <v>1483</v>
      </c>
      <c r="E45" s="9" t="s">
        <v>1484</v>
      </c>
      <c r="F45" s="6"/>
      <c r="G45" s="6"/>
      <c r="H45" s="6"/>
    </row>
    <row r="46" ht="61.5" customHeight="1">
      <c r="A46" s="9" t="s">
        <v>1485</v>
      </c>
      <c r="B46" s="9" t="s">
        <v>1486</v>
      </c>
      <c r="C46" s="9" t="s">
        <v>1487</v>
      </c>
      <c r="D46" s="9" t="s">
        <v>1488</v>
      </c>
      <c r="E46" s="9" t="s">
        <v>1489</v>
      </c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</sheetData>
  <mergeCells count="8">
    <mergeCell ref="A1:E1"/>
    <mergeCell ref="B2:E2"/>
    <mergeCell ref="B3:E3"/>
    <mergeCell ref="A5:E5"/>
    <mergeCell ref="A13:E13"/>
    <mergeCell ref="A19:E19"/>
    <mergeCell ref="A26:E26"/>
    <mergeCell ref="A42:E4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3.63"/>
    <col customWidth="1" min="2" max="2" width="51.13"/>
    <col customWidth="1" min="3" max="3" width="54.5"/>
    <col customWidth="1" min="4" max="4" width="44.88"/>
    <col customWidth="1" min="5" max="5" width="42.5"/>
  </cols>
  <sheetData>
    <row r="1">
      <c r="A1" s="60" t="s">
        <v>1101</v>
      </c>
    </row>
    <row r="2" ht="57.75" customHeight="1">
      <c r="A2" s="5" t="s">
        <v>1111</v>
      </c>
      <c r="B2" s="5" t="s">
        <v>1114</v>
      </c>
    </row>
    <row r="3" ht="57.75" customHeight="1">
      <c r="A3" s="5" t="s">
        <v>308</v>
      </c>
      <c r="B3" s="5" t="s">
        <v>1117</v>
      </c>
    </row>
    <row r="4">
      <c r="A4" s="28"/>
      <c r="B4" s="28"/>
      <c r="C4" s="28"/>
      <c r="D4" s="28"/>
      <c r="E4" s="28"/>
    </row>
    <row r="5">
      <c r="A5" s="61" t="s">
        <v>1125</v>
      </c>
    </row>
    <row r="6">
      <c r="A6" s="62" t="s">
        <v>1130</v>
      </c>
      <c r="B6" s="62" t="s">
        <v>1135</v>
      </c>
      <c r="C6" s="62" t="s">
        <v>1138</v>
      </c>
      <c r="D6" s="62" t="s">
        <v>1142</v>
      </c>
      <c r="E6" s="62" t="s">
        <v>1144</v>
      </c>
    </row>
    <row r="7" ht="55.5" customHeight="1">
      <c r="A7" s="5" t="s">
        <v>1147</v>
      </c>
      <c r="B7" s="5" t="s">
        <v>1149</v>
      </c>
      <c r="C7" s="5" t="s">
        <v>1151</v>
      </c>
      <c r="D7" s="5" t="s">
        <v>1153</v>
      </c>
      <c r="E7" s="5" t="s">
        <v>1155</v>
      </c>
    </row>
    <row r="8" ht="55.5" customHeight="1">
      <c r="A8" s="5" t="s">
        <v>1157</v>
      </c>
      <c r="B8" s="5" t="s">
        <v>1158</v>
      </c>
      <c r="C8" s="5" t="s">
        <v>1159</v>
      </c>
      <c r="D8" s="5" t="s">
        <v>1160</v>
      </c>
      <c r="E8" s="5" t="s">
        <v>1162</v>
      </c>
    </row>
    <row r="9" ht="55.5" customHeight="1">
      <c r="A9" s="5" t="s">
        <v>1164</v>
      </c>
      <c r="B9" s="5" t="s">
        <v>1166</v>
      </c>
      <c r="C9" s="5" t="s">
        <v>1151</v>
      </c>
      <c r="D9" s="5" t="s">
        <v>1169</v>
      </c>
      <c r="E9" s="5" t="s">
        <v>1172</v>
      </c>
    </row>
    <row r="10" ht="55.5" customHeight="1">
      <c r="A10" s="5" t="s">
        <v>1174</v>
      </c>
      <c r="B10" s="5" t="s">
        <v>1177</v>
      </c>
      <c r="C10" s="5" t="s">
        <v>1159</v>
      </c>
      <c r="D10" s="5" t="s">
        <v>1180</v>
      </c>
      <c r="E10" s="5" t="s">
        <v>1182</v>
      </c>
    </row>
    <row r="11" ht="55.5" customHeight="1">
      <c r="A11" s="5" t="s">
        <v>1184</v>
      </c>
      <c r="B11" s="5" t="s">
        <v>1188</v>
      </c>
      <c r="C11" s="5" t="s">
        <v>1190</v>
      </c>
      <c r="D11" s="5" t="s">
        <v>1192</v>
      </c>
      <c r="E11" s="5" t="s">
        <v>1194</v>
      </c>
    </row>
    <row r="12" ht="55.5" customHeight="1">
      <c r="A12" s="28"/>
      <c r="B12" s="28"/>
      <c r="C12" s="28"/>
      <c r="D12" s="28"/>
      <c r="E12" s="28"/>
    </row>
    <row r="13" ht="55.5" customHeight="1">
      <c r="A13" s="61" t="s">
        <v>1199</v>
      </c>
    </row>
    <row r="14" ht="55.5" customHeight="1">
      <c r="A14" s="62" t="s">
        <v>1203</v>
      </c>
      <c r="B14" s="62" t="s">
        <v>1204</v>
      </c>
      <c r="C14" s="62" t="s">
        <v>1206</v>
      </c>
      <c r="D14" s="62" t="s">
        <v>1208</v>
      </c>
      <c r="E14" s="62" t="s">
        <v>1211</v>
      </c>
    </row>
    <row r="15" ht="55.5" customHeight="1">
      <c r="A15" s="5" t="s">
        <v>1213</v>
      </c>
      <c r="B15" s="5" t="s">
        <v>1216</v>
      </c>
      <c r="C15" s="5" t="s">
        <v>1219</v>
      </c>
      <c r="D15" s="5" t="s">
        <v>1221</v>
      </c>
      <c r="E15" s="5" t="s">
        <v>1223</v>
      </c>
    </row>
    <row r="16" ht="55.5" customHeight="1">
      <c r="A16" s="5" t="s">
        <v>1227</v>
      </c>
      <c r="B16" s="5" t="s">
        <v>1229</v>
      </c>
      <c r="C16" s="5" t="s">
        <v>1231</v>
      </c>
      <c r="D16" s="5" t="s">
        <v>576</v>
      </c>
      <c r="E16" s="5" t="s">
        <v>1235</v>
      </c>
    </row>
    <row r="17" ht="55.5" customHeight="1">
      <c r="A17" s="5" t="s">
        <v>1237</v>
      </c>
      <c r="B17" s="5" t="s">
        <v>1239</v>
      </c>
      <c r="C17" s="5" t="s">
        <v>1241</v>
      </c>
      <c r="D17" s="5" t="s">
        <v>1242</v>
      </c>
      <c r="E17" s="5" t="s">
        <v>1243</v>
      </c>
    </row>
    <row r="18" ht="55.5" customHeight="1">
      <c r="A18" s="5" t="s">
        <v>1245</v>
      </c>
      <c r="B18" s="5" t="s">
        <v>1246</v>
      </c>
      <c r="C18" s="5" t="s">
        <v>1247</v>
      </c>
      <c r="D18" s="5" t="s">
        <v>1248</v>
      </c>
      <c r="E18" s="5" t="s">
        <v>1249</v>
      </c>
    </row>
    <row r="19" ht="55.5" customHeight="1">
      <c r="A19" s="5" t="s">
        <v>1250</v>
      </c>
      <c r="B19" s="5" t="s">
        <v>1252</v>
      </c>
      <c r="C19" s="5" t="s">
        <v>1253</v>
      </c>
      <c r="D19" s="5" t="s">
        <v>1255</v>
      </c>
      <c r="E19" s="5" t="s">
        <v>1257</v>
      </c>
    </row>
    <row r="20" ht="55.5" customHeight="1">
      <c r="A20" s="5" t="s">
        <v>1258</v>
      </c>
      <c r="B20" s="5" t="s">
        <v>1259</v>
      </c>
      <c r="C20" s="5" t="s">
        <v>1261</v>
      </c>
      <c r="D20" s="5" t="s">
        <v>1263</v>
      </c>
      <c r="E20" s="5" t="s">
        <v>1265</v>
      </c>
    </row>
    <row r="21" ht="55.5" customHeight="1">
      <c r="A21" s="28"/>
      <c r="B21" s="28"/>
      <c r="C21" s="28"/>
      <c r="D21" s="28"/>
      <c r="E21" s="28"/>
    </row>
    <row r="22" ht="55.5" customHeight="1">
      <c r="A22" s="61" t="s">
        <v>1267</v>
      </c>
    </row>
    <row r="23" ht="55.5" customHeight="1">
      <c r="A23" s="62" t="s">
        <v>1270</v>
      </c>
      <c r="B23" s="62" t="s">
        <v>1271</v>
      </c>
      <c r="C23" s="62" t="s">
        <v>1272</v>
      </c>
      <c r="D23" s="62" t="s">
        <v>1273</v>
      </c>
      <c r="E23" s="62" t="s">
        <v>1274</v>
      </c>
    </row>
    <row r="24" ht="55.5" customHeight="1">
      <c r="A24" s="5" t="s">
        <v>1277</v>
      </c>
      <c r="B24" s="5" t="s">
        <v>1279</v>
      </c>
      <c r="C24" s="5" t="s">
        <v>1282</v>
      </c>
      <c r="D24" s="5" t="s">
        <v>1284</v>
      </c>
      <c r="E24" s="5" t="s">
        <v>1289</v>
      </c>
    </row>
    <row r="25" ht="55.5" customHeight="1">
      <c r="A25" s="5" t="s">
        <v>1291</v>
      </c>
      <c r="B25" s="5" t="s">
        <v>1292</v>
      </c>
      <c r="C25" s="5" t="s">
        <v>1293</v>
      </c>
      <c r="D25" s="5" t="s">
        <v>1294</v>
      </c>
      <c r="E25" s="5" t="s">
        <v>1295</v>
      </c>
    </row>
    <row r="26" ht="55.5" customHeight="1">
      <c r="A26" s="5" t="s">
        <v>1296</v>
      </c>
      <c r="B26" s="5" t="s">
        <v>1297</v>
      </c>
      <c r="C26" s="5" t="s">
        <v>1298</v>
      </c>
      <c r="D26" s="5" t="s">
        <v>1299</v>
      </c>
      <c r="E26" s="5" t="s">
        <v>1300</v>
      </c>
    </row>
    <row r="27" ht="55.5" customHeight="1">
      <c r="A27" s="5" t="s">
        <v>1301</v>
      </c>
      <c r="B27" s="5" t="s">
        <v>1302</v>
      </c>
      <c r="C27" s="5" t="s">
        <v>1303</v>
      </c>
      <c r="D27" s="5" t="s">
        <v>1304</v>
      </c>
      <c r="E27" s="5" t="s">
        <v>1305</v>
      </c>
    </row>
    <row r="28" ht="55.5" customHeight="1">
      <c r="A28" s="5" t="s">
        <v>1306</v>
      </c>
      <c r="B28" s="5" t="s">
        <v>1307</v>
      </c>
      <c r="C28" s="5" t="s">
        <v>1310</v>
      </c>
      <c r="D28" s="5" t="s">
        <v>1311</v>
      </c>
      <c r="E28" s="5" t="s">
        <v>1312</v>
      </c>
    </row>
    <row r="29" ht="55.5" customHeight="1">
      <c r="A29" s="5" t="s">
        <v>1313</v>
      </c>
      <c r="B29" s="5" t="s">
        <v>1315</v>
      </c>
      <c r="C29" s="5" t="s">
        <v>1317</v>
      </c>
      <c r="D29" s="5" t="s">
        <v>1318</v>
      </c>
      <c r="E29" s="5" t="s">
        <v>1320</v>
      </c>
    </row>
    <row r="30" ht="55.5" customHeight="1">
      <c r="A30" s="5" t="s">
        <v>1322</v>
      </c>
      <c r="B30" s="5" t="s">
        <v>1323</v>
      </c>
      <c r="C30" s="5" t="s">
        <v>1324</v>
      </c>
      <c r="D30" s="5" t="s">
        <v>1326</v>
      </c>
      <c r="E30" s="5" t="s">
        <v>1328</v>
      </c>
    </row>
    <row r="31" ht="55.5" customHeight="1">
      <c r="A31" s="28"/>
      <c r="B31" s="28"/>
      <c r="C31" s="28"/>
      <c r="D31" s="28"/>
      <c r="E31" s="28"/>
    </row>
    <row r="32" ht="55.5" customHeight="1">
      <c r="A32" s="61" t="s">
        <v>1331</v>
      </c>
    </row>
    <row r="33" ht="55.5" customHeight="1">
      <c r="A33" s="62" t="s">
        <v>1334</v>
      </c>
      <c r="B33" s="62" t="s">
        <v>1336</v>
      </c>
      <c r="C33" s="62" t="s">
        <v>1338</v>
      </c>
      <c r="D33" s="62" t="s">
        <v>1340</v>
      </c>
      <c r="E33" s="62" t="s">
        <v>1342</v>
      </c>
    </row>
    <row r="34" ht="55.5" customHeight="1">
      <c r="A34" s="5" t="s">
        <v>1343</v>
      </c>
      <c r="B34" s="5" t="s">
        <v>1344</v>
      </c>
      <c r="C34" s="5" t="s">
        <v>1346</v>
      </c>
      <c r="D34" s="5" t="s">
        <v>1347</v>
      </c>
      <c r="E34" s="5" t="s">
        <v>1348</v>
      </c>
    </row>
    <row r="35" ht="55.5" customHeight="1">
      <c r="A35" s="5" t="s">
        <v>1350</v>
      </c>
      <c r="B35" s="5" t="s">
        <v>1352</v>
      </c>
      <c r="C35" s="5" t="s">
        <v>1353</v>
      </c>
      <c r="D35" s="5" t="s">
        <v>1354</v>
      </c>
      <c r="E35" s="5" t="s">
        <v>1355</v>
      </c>
    </row>
    <row r="36" ht="55.5" customHeight="1">
      <c r="A36" s="5" t="s">
        <v>1356</v>
      </c>
      <c r="B36" s="5" t="s">
        <v>1357</v>
      </c>
      <c r="C36" s="5" t="s">
        <v>1358</v>
      </c>
      <c r="D36" s="5" t="s">
        <v>1360</v>
      </c>
      <c r="E36" s="5" t="s">
        <v>1361</v>
      </c>
    </row>
    <row r="37" ht="55.5" customHeight="1">
      <c r="A37" s="5" t="s">
        <v>1362</v>
      </c>
      <c r="B37" s="5" t="s">
        <v>1363</v>
      </c>
      <c r="C37" s="5" t="s">
        <v>1364</v>
      </c>
      <c r="D37" s="5" t="s">
        <v>1366</v>
      </c>
      <c r="E37" s="5" t="s">
        <v>1367</v>
      </c>
    </row>
    <row r="38" ht="55.5" customHeight="1">
      <c r="A38" s="5" t="s">
        <v>1368</v>
      </c>
      <c r="B38" s="5" t="s">
        <v>1370</v>
      </c>
      <c r="C38" s="5" t="s">
        <v>1371</v>
      </c>
      <c r="D38" s="5" t="s">
        <v>1372</v>
      </c>
      <c r="E38" s="5" t="s">
        <v>1373</v>
      </c>
    </row>
    <row r="39" ht="55.5" customHeight="1">
      <c r="A39" s="28"/>
      <c r="B39" s="28"/>
      <c r="C39" s="28"/>
      <c r="D39" s="28"/>
      <c r="E39" s="28"/>
    </row>
    <row r="40" ht="55.5" customHeight="1">
      <c r="A40" s="61" t="s">
        <v>1376</v>
      </c>
    </row>
    <row r="41" ht="55.5" customHeight="1">
      <c r="A41" s="62" t="s">
        <v>326</v>
      </c>
      <c r="B41" s="62" t="s">
        <v>634</v>
      </c>
      <c r="C41" s="62" t="s">
        <v>333</v>
      </c>
      <c r="D41" s="62" t="s">
        <v>1379</v>
      </c>
      <c r="E41" s="62" t="s">
        <v>636</v>
      </c>
    </row>
    <row r="42" ht="55.5" customHeight="1">
      <c r="A42" s="5" t="s">
        <v>1380</v>
      </c>
      <c r="B42" s="5" t="s">
        <v>1382</v>
      </c>
      <c r="C42" s="5" t="s">
        <v>1383</v>
      </c>
      <c r="D42" s="5" t="s">
        <v>1385</v>
      </c>
      <c r="E42" s="5" t="s">
        <v>1387</v>
      </c>
    </row>
    <row r="43" ht="55.5" customHeight="1">
      <c r="A43" s="5" t="s">
        <v>1388</v>
      </c>
      <c r="B43" s="5" t="s">
        <v>1389</v>
      </c>
      <c r="C43" s="5" t="s">
        <v>1390</v>
      </c>
      <c r="D43" s="5" t="s">
        <v>1391</v>
      </c>
      <c r="E43" s="5" t="s">
        <v>1392</v>
      </c>
    </row>
    <row r="44" ht="55.5" customHeight="1">
      <c r="A44" s="5" t="s">
        <v>1393</v>
      </c>
      <c r="B44" s="5" t="s">
        <v>1394</v>
      </c>
      <c r="C44" s="5" t="s">
        <v>1395</v>
      </c>
      <c r="D44" s="5" t="s">
        <v>1396</v>
      </c>
      <c r="E44" s="5" t="s">
        <v>1397</v>
      </c>
    </row>
    <row r="45" ht="55.5" customHeight="1">
      <c r="A45" s="5" t="s">
        <v>1398</v>
      </c>
      <c r="B45" s="5" t="s">
        <v>1399</v>
      </c>
      <c r="C45" s="5" t="s">
        <v>1400</v>
      </c>
      <c r="D45" s="5" t="s">
        <v>1401</v>
      </c>
      <c r="E45" s="5" t="s">
        <v>1402</v>
      </c>
    </row>
    <row r="46" ht="55.5" customHeight="1">
      <c r="A46" s="28"/>
      <c r="B46" s="28"/>
      <c r="C46" s="28"/>
      <c r="D46" s="28"/>
      <c r="E46" s="28"/>
    </row>
    <row r="47" ht="55.5" customHeight="1">
      <c r="A47" s="61" t="s">
        <v>1403</v>
      </c>
    </row>
    <row r="48" ht="55.5" customHeight="1">
      <c r="A48" s="62" t="s">
        <v>332</v>
      </c>
      <c r="B48" s="62" t="s">
        <v>1404</v>
      </c>
      <c r="C48" s="62" t="s">
        <v>1405</v>
      </c>
      <c r="D48" s="62" t="s">
        <v>1406</v>
      </c>
      <c r="E48" s="62" t="s">
        <v>944</v>
      </c>
    </row>
    <row r="49" ht="55.5" customHeight="1">
      <c r="A49" s="5" t="s">
        <v>1407</v>
      </c>
      <c r="B49" s="5" t="s">
        <v>1408</v>
      </c>
      <c r="C49" s="5" t="s">
        <v>1409</v>
      </c>
      <c r="D49" s="5" t="s">
        <v>1410</v>
      </c>
      <c r="E49" s="5" t="s">
        <v>1412</v>
      </c>
    </row>
    <row r="50" ht="55.5" customHeight="1">
      <c r="A50" s="5" t="s">
        <v>1413</v>
      </c>
      <c r="B50" s="5" t="s">
        <v>1414</v>
      </c>
      <c r="C50" s="5" t="s">
        <v>1415</v>
      </c>
      <c r="D50" s="5" t="s">
        <v>1416</v>
      </c>
      <c r="E50" s="5" t="s">
        <v>1417</v>
      </c>
    </row>
    <row r="51" ht="55.5" customHeight="1">
      <c r="A51" s="5" t="s">
        <v>1418</v>
      </c>
      <c r="B51" s="5" t="s">
        <v>1419</v>
      </c>
      <c r="C51" s="5" t="s">
        <v>1420</v>
      </c>
      <c r="D51" s="5" t="s">
        <v>1421</v>
      </c>
      <c r="E51" s="5" t="s">
        <v>1422</v>
      </c>
    </row>
    <row r="52" ht="55.5" customHeight="1">
      <c r="A52" s="5" t="s">
        <v>1423</v>
      </c>
      <c r="B52" s="5" t="s">
        <v>1424</v>
      </c>
      <c r="C52" s="5" t="s">
        <v>1425</v>
      </c>
      <c r="D52" s="5" t="s">
        <v>1426</v>
      </c>
      <c r="E52" s="5" t="s">
        <v>1427</v>
      </c>
    </row>
    <row r="53" ht="55.5" customHeight="1">
      <c r="A53" s="5" t="s">
        <v>308</v>
      </c>
      <c r="B53" s="5" t="s">
        <v>1428</v>
      </c>
      <c r="C53" s="5" t="s">
        <v>1429</v>
      </c>
      <c r="D53" s="5" t="s">
        <v>1430</v>
      </c>
      <c r="E53" s="5" t="s">
        <v>1431</v>
      </c>
    </row>
    <row r="54">
      <c r="A54" s="28"/>
      <c r="B54" s="28"/>
      <c r="C54" s="28"/>
      <c r="D54" s="28"/>
      <c r="E54" s="28"/>
    </row>
    <row r="55">
      <c r="A55" s="5" t="s">
        <v>1432</v>
      </c>
      <c r="B55" s="5" t="s">
        <v>1433</v>
      </c>
    </row>
  </sheetData>
  <mergeCells count="10">
    <mergeCell ref="A40:E40"/>
    <mergeCell ref="A47:E47"/>
    <mergeCell ref="B55:E55"/>
    <mergeCell ref="A1:E1"/>
    <mergeCell ref="B2:E2"/>
    <mergeCell ref="B3:E3"/>
    <mergeCell ref="A5:E5"/>
    <mergeCell ref="A13:E13"/>
    <mergeCell ref="A22:E22"/>
    <mergeCell ref="A32:E3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7.0"/>
    <col customWidth="1" min="2" max="2" width="95.13"/>
    <col customWidth="1" min="3" max="3" width="47.0"/>
  </cols>
  <sheetData>
    <row r="1">
      <c r="A1" s="53" t="s">
        <v>1440</v>
      </c>
    </row>
    <row r="2" ht="48.75" customHeight="1">
      <c r="A2" s="5" t="s">
        <v>1441</v>
      </c>
      <c r="B2" s="5" t="s">
        <v>1442</v>
      </c>
    </row>
    <row r="3">
      <c r="A3" s="28"/>
      <c r="B3" s="28"/>
      <c r="C3" s="28"/>
    </row>
    <row r="4">
      <c r="A4" s="62" t="s">
        <v>5</v>
      </c>
      <c r="B4" s="62" t="s">
        <v>1445</v>
      </c>
      <c r="C4" s="62" t="s">
        <v>1446</v>
      </c>
    </row>
    <row r="5" ht="73.5" customHeight="1">
      <c r="A5" s="5" t="s">
        <v>1447</v>
      </c>
      <c r="B5" s="5" t="s">
        <v>1448</v>
      </c>
      <c r="C5" s="5" t="s">
        <v>1449</v>
      </c>
    </row>
    <row r="6" ht="73.5" customHeight="1">
      <c r="A6" s="5" t="s">
        <v>1450</v>
      </c>
      <c r="B6" s="5" t="s">
        <v>1451</v>
      </c>
      <c r="C6" s="5" t="s">
        <v>1452</v>
      </c>
    </row>
    <row r="7" ht="73.5" customHeight="1">
      <c r="A7" s="5" t="s">
        <v>1453</v>
      </c>
      <c r="B7" s="5" t="s">
        <v>1454</v>
      </c>
      <c r="C7" s="5" t="s">
        <v>1455</v>
      </c>
    </row>
    <row r="8" ht="73.5" customHeight="1">
      <c r="A8" s="5" t="s">
        <v>1456</v>
      </c>
      <c r="B8" s="5" t="s">
        <v>1457</v>
      </c>
      <c r="C8" s="5" t="s">
        <v>1458</v>
      </c>
    </row>
    <row r="9" ht="73.5" customHeight="1">
      <c r="A9" s="5" t="s">
        <v>1459</v>
      </c>
      <c r="B9" s="5" t="s">
        <v>1460</v>
      </c>
      <c r="C9" s="5" t="s">
        <v>1461</v>
      </c>
    </row>
    <row r="10">
      <c r="A10" s="28"/>
      <c r="B10" s="28"/>
      <c r="C10" s="28"/>
    </row>
    <row r="11">
      <c r="A11" s="53" t="s">
        <v>1462</v>
      </c>
    </row>
    <row r="12" ht="48.75" customHeight="1">
      <c r="A12" s="5" t="s">
        <v>1463</v>
      </c>
      <c r="B12" s="5" t="s">
        <v>1464</v>
      </c>
    </row>
    <row r="13" ht="48.75" customHeight="1">
      <c r="A13" s="5" t="s">
        <v>1465</v>
      </c>
      <c r="B13" s="5" t="s">
        <v>1466</v>
      </c>
    </row>
  </sheetData>
  <mergeCells count="5">
    <mergeCell ref="A1:C1"/>
    <mergeCell ref="A11:C11"/>
    <mergeCell ref="B2:C2"/>
    <mergeCell ref="B12:C12"/>
    <mergeCell ref="B13:C13"/>
  </mergeCells>
  <drawing r:id="rId1"/>
</worksheet>
</file>